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a2236016ec4a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览" sheetId="1" r:id="Re5ec3a9546554410"/>
    <x:sheet xmlns:r="http://schemas.openxmlformats.org/officeDocument/2006/relationships" name="来源目录" sheetId="2" r:id="R81986fbd43824e30"/>
    <x:sheet xmlns:r="http://schemas.openxmlformats.org/officeDocument/2006/relationships" name="本地文档对照" sheetId="3" r:id="R027584b3e8d943a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F2937"/>
      <x:name val="Arial"/>
    </x:font>
    <x:font>
      <x:b/>
      <x:sz val="15"/>
      <x:color rgb="FF1F2937"/>
      <x:name val="Arial"/>
    </x:font>
    <x:font>
      <x:i/>
      <x:sz val="10"/>
      <x:color rgb="FF4B5563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1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aa9dc53298042f2" /><Relationship Type="http://schemas.openxmlformats.org/officeDocument/2006/relationships/theme" Target="/xl/theme/theme1.xml" Id="Radfdf2aefa5c41c3" /><Relationship Type="http://schemas.openxmlformats.org/officeDocument/2006/relationships/sharedStrings" Target="/xl/sharedStrings.xml" Id="Rae09523c082f4085" /><Relationship Type="http://schemas.openxmlformats.org/officeDocument/2006/relationships/worksheet" Target="/xl/worksheets/sheet1.xml" Id="Re5ec3a9546554410" /><Relationship Type="http://schemas.openxmlformats.org/officeDocument/2006/relationships/worksheet" Target="/xl/worksheets/sheet2.xml" Id="R81986fbd43824e30" /><Relationship Type="http://schemas.openxmlformats.org/officeDocument/2006/relationships/worksheet" Target="/xl/worksheets/sheet3.xml" Id="R027584b3e8d943a1" /></Relationships>
</file>

<file path=xl/tables/table1.xml><?xml version="1.0" encoding="utf-8"?>
<x:table xmlns:x="http://schemas.openxmlformats.org/spreadsheetml/2006/main" id="1" name="DocumentSourceCatalog" displayName="DocumentSourceCatalog" ref="A1:H81" headerRowCount="1" totalsRowCount="0" totalsRowShown="0">
  <x:tableColumns count="8">
    <x:tableColumn id="1" name="术数"/>
    <x:tableColumn id="2" name="资料主题"/>
    <x:tableColumn id="3" name="来源站点／书名"/>
    <x:tableColumn id="4" name="页面或卷次"/>
    <x:tableColumn id="5" name="原始 URL"/>
    <x:tableColumn id="6" name="抓取状态"/>
    <x:tableColumn id="7" name="可整理内容"/>
    <x:tableColumn id="8" name="入库边界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ocalDocumentSourceMapping" displayName="LocalDocumentSourceMapping" ref="A1:E12" headerRowCount="1" totalsRowCount="0" totalsRowShown="0">
  <x:tableColumns count="5">
    <x:tableColumn id="1" name="术数"/>
    <x:tableColumn id="2" name="本地文档"/>
    <x:tableColumn id="3" name="文档职责"/>
    <x:tableColumn id="4" name="对应资料来源"/>
    <x:tableColumn id="5" name="补充状态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2d58d8c4d814d4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d1538cf085f454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4" hidden="0" customWidth="1"/>
    <x:col min="4" max="4" width="22" hidden="0" customWidth="1"/>
    <x:col min="5" max="5" width="46" hidden="0" customWidth="1"/>
    <x:col min="6" max="6" width="34" hidden="0" customWidth="1"/>
  </x:cols>
  <x:sheetData>
    <x:row r="2" ht="18" hidden="0" customHeight="1">
      <x:c r="A2" s="4" t="str">
        <x:v>ZhouYiLab 术数资料来源台账</x:v>
      </x:c>
      <x:c r="B2" s="4"/>
      <x:c r="C2" s="4"/>
      <x:c r="D2" s="4"/>
      <x:c r="E2" s="4"/>
      <x:c r="F2" s="4"/>
    </x:row>
    <x:row r="3" ht="15" hidden="0" customHeight="1">
      <x:c r="A3" s="5" t="str">
        <x:v>仅登记实际访问或已定位的网页/文档；没有来源的内容不在本表中虚构出处。</x:v>
      </x:c>
      <x:c r="B3" s="5"/>
      <x:c r="C3" s="5"/>
      <x:c r="D3" s="5"/>
      <x:c r="E3" s="5"/>
      <x:c r="F3" s="5"/>
    </x:row>
    <x:row r="4" ht="15" hidden="0" customHeight="1">
      <x:c r="A4" s="3"/>
      <x:c r="B4" s="3"/>
      <x:c r="C4" s="3"/>
      <x:c r="D4" s="3"/>
      <x:c r="E4" s="3"/>
      <x:c r="F4" s="3"/>
    </x:row>
    <x:row r="5" ht="15" hidden="0" customHeight="1">
      <x:c r="A5" s="8" t="str">
        <x:v>项目</x:v>
      </x:c>
      <x:c r="B5" s="8" t="str">
        <x:v>数量</x:v>
      </x:c>
      <x:c r="C5" s="3"/>
      <x:c r="D5" s="8" t="str">
        <x:v>使用原则</x:v>
      </x:c>
      <x:c r="E5" s="8" t="str">
        <x:v>说明</x:v>
      </x:c>
      <x:c r="F5" s="8" t="str">
        <x:v>落实位置</x:v>
      </x:c>
    </x:row>
    <x:row r="6" ht="15" hidden="0" customHeight="1">
      <x:c r="A6" s="9" t="str">
        <x:v>资料来源条目</x:v>
      </x:c>
      <x:c r="B6" s="9" t="n">
        <x:f>COUNTA('来源目录'!A2:A200)</x:f>
        <x:v>80</x:v>
      </x:c>
      <x:c r="C6" s="3"/>
      <x:c r="D6" s="9" t="str">
        <x:v>保留原页</x:v>
      </x:c>
      <x:c r="E6" s="9" t="str">
        <x:v>每行有原始 URL、来源名称与抓取状态</x:v>
      </x:c>
      <x:c r="F6" s="9" t="str">
        <x:v>来源目录</x:v>
      </x:c>
    </x:row>
    <x:row r="7" ht="24" hidden="0" customHeight="1">
      <x:c r="A7" s="9" t="str">
        <x:v>本地文档映射</x:v>
      </x:c>
      <x:c r="B7" s="9" t="n">
        <x:f>COUNTA('本地文档对照'!A2:A200)</x:f>
        <x:v>11</x:v>
      </x:c>
      <x:c r="C7" s="3"/>
      <x:c r="D7" s="9" t="str">
        <x:v>不添油加醋</x:v>
      </x:c>
      <x:c r="E7" s="9" t="str">
        <x:v>只写网页确有的主题和能用于项目的层次，不补造原文没有的条件</x:v>
      </x:c>
      <x:c r="F7" s="9" t="str">
        <x:v>来源目录</x:v>
      </x:c>
    </x:row>
    <x:row r="8" ht="24" hidden="0" customHeight="1">
      <x:c r="A8" s="9" t="str">
        <x:v>可访问来源</x:v>
      </x:c>
      <x:c r="B8" s="9" t="n">
        <x:f>COUNTIF('来源目录'!F2:F200,"可访问")</x:f>
        <x:v>14</x:v>
      </x:c>
      <x:c r="C8" s="3"/>
      <x:c r="D8" s="9" t="str">
        <x:v>口径分开</x:v>
      </x:c>
      <x:c r="E8" s="9" t="str">
        <x:v>排盘、星曜、格局、限运、应期分列，不将不同流派混为一条规则</x:v>
      </x:c>
      <x:c r="F8" s="9" t="str">
        <x:v>本地文档对照</x:v>
      </x:c>
    </x:row>
    <x:row r="9" ht="15" hidden="0" customHeight="1">
      <x:c r="A9" s="9" t="str">
        <x:v>已定位来源</x:v>
      </x:c>
      <x:c r="B9" s="9" t="n">
        <x:f>COUNTIF('来源目录'!F2:F200,"已定位")</x:f>
        <x:v>5</x:v>
      </x:c>
      <x:c r="C9" s="3"/>
      <x:c r="D9" s="9" t="str">
        <x:v>来源不是结论</x:v>
      </x:c>
      <x:c r="E9" s="9" t="str">
        <x:v>网页资料进入项目时仍拆为条件、未成立理由与报告字段</x:v>
      </x:c>
      <x:c r="F9" s="9" t="str">
        <x:v>各分析契约</x:v>
      </x:c>
    </x:row>
    <x:row r="10" ht="36" hidden="0" customHeight="1">
      <x:c r="A10" s="9" t="str">
        <x:v>需复取来源</x:v>
      </x:c>
      <x:c r="B10" s="9" t="n">
        <x:f>COUNTIF('来源目录'!F2:F200,"本次抓取超时")</x:f>
        <x:v>0</x:v>
      </x:c>
      <x:c r="C10" s="3"/>
      <x:c r="D10" s="9" t="str">
        <x:v>抓取状态如实保留</x:v>
      </x:c>
      <x:c r="E10" s="9" t="str">
        <x:v>ZiWei.my 先前直连超时，现已由普通浏览器读取指定公开页；未读页面仍不可称已校勘</x:v>
      </x:c>
      <x:c r="F10" s="9" t="str">
        <x:v>来源目录</x:v>
      </x:c>
    </x:row>
    <x:row r="11" ht="24" hidden="0" customHeight="1">
      <x:c r="A11" s="9" t="str">
        <x:v>资料口径</x:v>
      </x:c>
      <x:c r="B11" s="9" t="str">
        <x:v>网站原页为主，按 URL、标题和边界追溯</x:v>
      </x:c>
      <x:c r="C11" s="3"/>
      <x:c r="D11" s="9" t="str">
        <x:v>更新方式</x:v>
      </x:c>
      <x:c r="E11" s="9" t="str">
        <x:v>新增资料必须新增 URL、资料类型和项目边界</x:v>
      </x:c>
      <x:c r="F11" s="9" t="str">
        <x:v>本台账</x:v>
      </x:c>
    </x:row>
  </x:sheetData>
  <x:mergeCells>
    <x:mergeCell ref="A2:F2"/>
    <x:mergeCell ref="A3:F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26" hidden="0" customWidth="1"/>
    <x:col min="4" max="4" width="26" hidden="0" customWidth="1"/>
    <x:col min="5" max="5" width="68" hidden="0" customWidth="1"/>
    <x:col min="6" max="6" width="18" hidden="0" customWidth="1"/>
    <x:col min="7" max="7" width="48" hidden="0" customWidth="1"/>
    <x:col min="8" max="8" width="72" hidden="0" customWidth="1"/>
  </x:cols>
  <x:sheetData>
    <x:row r="1" ht="15" hidden="0" customHeight="1">
      <x:c r="A1" s="3" t="str">
        <x:v>术数</x:v>
      </x:c>
      <x:c r="B1" s="3" t="str">
        <x:v>资料主题</x:v>
      </x:c>
      <x:c r="C1" s="3" t="str">
        <x:v>来源站点／书名</x:v>
      </x:c>
      <x:c r="D1" s="3" t="str">
        <x:v>页面或卷次</x:v>
      </x:c>
      <x:c r="E1" s="3" t="str">
        <x:v>原始 URL</x:v>
      </x:c>
      <x:c r="F1" s="3" t="str">
        <x:v>抓取状态</x:v>
      </x:c>
      <x:c r="G1" s="3" t="str">
        <x:v>可整理内容</x:v>
      </x:c>
      <x:c r="H1" s="3" t="str">
        <x:v>入库边界</x:v>
      </x:c>
    </x:row>
    <x:row r="2" ht="15" hidden="0" customHeight="1">
      <x:c r="A2" s="3" t="str">
        <x:v>紫微斗数</x:v>
      </x:c>
      <x:c r="B2" s="3" t="str">
        <x:v>格局</x:v>
      </x:c>
      <x:c r="C2" s="3" t="str">
        <x:v>iztro</x:v>
      </x:c>
      <x:c r="D2" s="3" t="str">
        <x:v>紫微斗数格局</x:v>
      </x:c>
      <x:c r="E2" s="3" t="str">
        <x:v>https://docs.iztro.com/learn/pattern</x:v>
      </x:c>
      <x:c r="F2" s="3" t="str">
        <x:v>可访问</x:v>
      </x:c>
      <x:c r="G2" s="3" t="str">
        <x:v>格局标题、盘式、条件与作者标注的资料来源</x:v>
      </x:c>
      <x:c r="H2" s="3" t="str">
        <x:v>页面明示含古籍与互联网整理；入库必须保留具体条目、条件与版本</x:v>
      </x:c>
    </x:row>
    <x:row r="3" ht="15" hidden="0" customHeight="1">
      <x:c r="A3" s="3" t="str">
        <x:v>紫微斗数</x:v>
      </x:c>
      <x:c r="B3" s="3" t="str">
        <x:v>安星</x:v>
      </x:c>
      <x:c r="C3" s="3" t="str">
        <x:v>iztro</x:v>
      </x:c>
      <x:c r="D3" s="3" t="str">
        <x:v>安星诀</x:v>
      </x:c>
      <x:c r="E3" s="3" t="str">
        <x:v>https://docs.iztro.com/learn/setup</x:v>
      </x:c>
      <x:c r="F3" s="3" t="str">
        <x:v>已建立本地对照</x:v>
      </x:c>
      <x:c r="G3" s="3" t="str">
        <x:v>安主星、辅曜、神煞的步骤索引</x:v>
      </x:c>
      <x:c r="H3" s="3" t="str">
        <x:v>用于安星公式核对；项目公式仍须固定盘例回归</x:v>
      </x:c>
    </x:row>
    <x:row r="4" ht="15" hidden="0" customHeight="1">
      <x:c r="A4" s="3" t="str">
        <x:v>紫微斗数</x:v>
      </x:c>
      <x:c r="B4" s="3" t="str">
        <x:v>全书章节</x:v>
      </x:c>
      <x:c r="C4" s="3" t="str">
        <x:v>iztro</x:v>
      </x:c>
      <x:c r="D4" s="3" t="str">
        <x:v>紫微斗数全书索引</x:v>
      </x:c>
      <x:c r="E4" s="3" t="str">
        <x:v>https://docs.iztro.com/learn/ziwei-doushu-quanshu</x:v>
      </x:c>
      <x:c r="F4" s="3" t="str">
        <x:v>可访问</x:v>
      </x:c>
      <x:c r="G4" s="3" t="str">
        <x:v>全书卷次、赋文与星曜论述的公开章节入口</x:v>
      </x:c>
      <x:c r="H4" s="3" t="str">
        <x:v>章节标题只是检索入口；异文、版本与流派差异必须逐条标明</x:v>
      </x:c>
    </x:row>
    <x:row r="5" ht="15" hidden="0" customHeight="1">
      <x:c r="A5" s="3" t="str">
        <x:v>紫微斗数</x:v>
      </x:c>
      <x:c r="B5" s="3" t="str">
        <x:v>主星</x:v>
      </x:c>
      <x:c r="C5" s="3" t="str">
        <x:v>iztro</x:v>
      </x:c>
      <x:c r="D5" s="3" t="str">
        <x:v>14 主星</x:v>
      </x:c>
      <x:c r="E5" s="3" t="str">
        <x:v>https://docs.iztro.com/learn/major-star</x:v>
      </x:c>
      <x:c r="F5" s="3" t="str">
        <x:v>已建立本地对照</x:v>
      </x:c>
      <x:c r="G5" s="3" t="str">
        <x:v>主星基础字段、组合入口</x:v>
      </x:c>
      <x:c r="H5" s="3" t="str">
        <x:v>基础词条不替代亮度、三方四正、四化与辅煞</x:v>
      </x:c>
    </x:row>
    <x:row r="6" ht="15" hidden="0" customHeight="1">
      <x:c r="A6" s="3" t="str">
        <x:v>紫微斗数</x:v>
      </x:c>
      <x:c r="B6" s="3" t="str">
        <x:v>辅煞</x:v>
      </x:c>
      <x:c r="C6" s="3" t="str">
        <x:v>iztro</x:v>
      </x:c>
      <x:c r="D6" s="3" t="str">
        <x:v>14 辅星／37 杂曜／48 神煞</x:v>
      </x:c>
      <x:c r="E6" s="3" t="str">
        <x:v>https://docs.iztro.com/learn/minor-star</x:v>
      </x:c>
      <x:c r="F6" s="3" t="str">
        <x:v>已建立本地对照</x:v>
      </x:c>
      <x:c r="G6" s="3" t="str">
        <x:v>辅星、杂曜、神煞的资料入口</x:v>
      </x:c>
      <x:c r="H6" s="3" t="str">
        <x:v>须按星曜分层与安置方法入库，不能将类别直接等同吉凶</x:v>
      </x:c>
    </x:row>
    <x:row r="7" ht="24" hidden="0" customHeight="1">
      <x:c r="A7" s="3" t="str">
        <x:v>紫微斗数</x:v>
      </x:c>
      <x:c r="B7" s="3" t="str">
        <x:v>守命组合</x:v>
      </x:c>
      <x:c r="C7" s="3" t="str">
        <x:v>ZiWei.my</x:v>
      </x:c>
      <x:c r="D7" s="3" t="str">
        <x:v>紫微星子午守命宫（三方四正）</x:v>
      </x:c>
      <x:c r="E7" s="3" t="str">
        <x:v>https://www.ziwei.my/zi-wei-star/zi-wei-star-zi-wu-life-palace-2/</x:v>
      </x:c>
      <x:c r="F7" s="3" t="str">
        <x:v>已用浏览器读取</x:v>
      </x:c>
      <x:c r="G7" s="3" t="str">
        <x:v>子午守命三方四正、星曜亮度、格局、不同生年四化与站内延伸条目</x:v>
      </x:c>
      <x:c r="H7" s="3" t="str">
        <x:v>网页含现代解说和广告；只入库结构条件、星曜宫位、亮度和直接 URL，不复制长段断语</x:v>
      </x:c>
    </x:row>
    <x:row r="8" ht="24" hidden="0" customHeight="1">
      <x:c r="A8" s="3" t="str">
        <x:v>紫微斗数</x:v>
      </x:c>
      <x:c r="B8" s="3" t="str">
        <x:v>守命组合总览</x:v>
      </x:c>
      <x:c r="C8" s="3" t="str">
        <x:v>ZiWei.my</x:v>
      </x:c>
      <x:c r="D8" s="3" t="str">
        <x:v>紫微星坐守命宫总览</x:v>
      </x:c>
      <x:c r="E8" s="3" t="str">
        <x:v>https://www.ziwei.my/zi-wei-star/zi-wei-star-at-life-palace/</x:v>
      </x:c>
      <x:c r="F8" s="3" t="str">
        <x:v>已用浏览器读取</x:v>
      </x:c>
      <x:c r="G8" s="3" t="str">
        <x:v>紫微星六种固定守命组合、三方四正、吉煞分组与十二宫组合导航</x:v>
      </x:c>
      <x:c r="H8" s="3" t="str">
        <x:v>仅作结构化资料目录；具体条目仍须记录直接 URL、宫位、同宫星、亮度与限定条件，不从目录补写断语</x:v>
      </x:c>
    </x:row>
    <x:row r="9" ht="15" hidden="0" customHeight="1">
      <x:c r="A9" s="3" t="str">
        <x:v>紫微斗数</x:v>
      </x:c>
      <x:c r="B9" s="3" t="str">
        <x:v>天干四化</x:v>
      </x:c>
      <x:c r="C9" s="3" t="str">
        <x:v>ZiWei.my</x:v>
      </x:c>
      <x:c r="D9" s="3" t="str">
        <x:v>四化</x:v>
      </x:c>
      <x:c r="E9" s="3" t="str">
        <x:v>https://www.ziwei.my/%E5%9B%9B%E5%8C%96/</x:v>
      </x:c>
      <x:c r="F9" s="3" t="str">
        <x:v>已用浏览器读取</x:v>
      </x:c>
      <x:c r="G9" s="3" t="str">
        <x:v>天干四化表与各主星四化的页面索引</x:v>
      </x:c>
      <x:c r="H9" s="3" t="str">
        <x:v>作为星曜飞化数据校对入口；解释仍须区分星曜、宫位、同会与流派，不能抽成确定应事</x:v>
      </x:c>
    </x:row>
    <x:row r="10" ht="15" hidden="0" customHeight="1">
      <x:c r="A10" s="3" t="str">
        <x:v>紫微斗数</x:v>
      </x:c>
      <x:c r="B10" s="3" t="str">
        <x:v>忌冲口径</x:v>
      </x:c>
      <x:c r="C10" s="3" t="str">
        <x:v>ZiWei.my</x:v>
      </x:c>
      <x:c r="D10" s="3" t="str">
        <x:v>礼仪派四化浅谈</x:v>
      </x:c>
      <x:c r="E10" s="3" t="str">
        <x:v>https://www.ziwei.my/si-hua/liyipai-si-hua/</x:v>
      </x:c>
      <x:c r="F10" s="3" t="str">
        <x:v>已用浏览器读取</x:v>
      </x:c>
      <x:c r="G10" s="3" t="str">
        <x:v>忌入/忌出、生数宫、大小冲与四化碰撞的礼仪派口径</x:v>
      </x:c>
      <x:c r="H10" s="3" t="str">
        <x:v>仅适用于页面明确的礼仪派框架；不得改名为通行忌冲法或混入南派四化规则</x:v>
      </x:c>
    </x:row>
    <x:row r="11" ht="24" hidden="0" customHeight="1">
      <x:c r="A11" s="3" t="str">
        <x:v>紫微斗数</x:v>
      </x:c>
      <x:c r="B11" s="3" t="str">
        <x:v>限运四化</x:v>
      </x:c>
      <x:c r="C11" s="3" t="str">
        <x:v>ZiWei.my</x:v>
      </x:c>
      <x:c r="D11" s="3" t="str">
        <x:v>命局、大限、小限、流年讲解</x:v>
      </x:c>
      <x:c r="E11" s="3" t="str">
        <x:v>https://www.ziwei.my/zi-wei-dou-shu-portfolio/zwds-guide-ming-ju-da-xian-xiao-xian-liu-nian/</x:v>
      </x:c>
      <x:c r="F11" s="3" t="str">
        <x:v>已用浏览器读取</x:v>
      </x:c>
      <x:c r="G11" s="3" t="str">
        <x:v>命局、大限、流年的时间层及化忌叠、冲资料入口</x:v>
      </x:c>
      <x:c r="H11" s="3" t="str">
        <x:v>只登记三盘参与项与未决条件，不能承诺具体灾病或事件</x:v>
      </x:c>
    </x:row>
    <x:row r="12" ht="24" hidden="0" customHeight="1">
      <x:c r="A12" s="3" t="str">
        <x:v>紫微斗数</x:v>
      </x:c>
      <x:c r="B12" s="3" t="str">
        <x:v>守命组合</x:v>
      </x:c>
      <x:c r="C12" s="3" t="str">
        <x:v>ZiWei.my</x:v>
      </x:c>
      <x:c r="D12" s="3" t="str">
        <x:v>天机星坐守命宫</x:v>
      </x:c>
      <x:c r="E12" s="3" t="str">
        <x:v>https://www.ziwei.my/tian-ji-star/tian-ji-star-at-life-palace/</x:v>
      </x:c>
      <x:c r="F12" s="3" t="str">
        <x:v>已用浏览器读取</x:v>
      </x:c>
      <x:c r="G12" s="3" t="str">
        <x:v>天机在子午、丑未、巳亥独坐及寅申、卯酉、辰戌同宫组合；各分段的三方四正标题与星曜亮度资料</x:v>
      </x:c>
      <x:c r="H12" s="3" t="str">
        <x:v>仅入库星曜、同宫组合、宫位、亮度与成立条件；不同生年、会照和煞曜分支不得脱离原页前提，也不复制长篇断语</x:v>
      </x:c>
    </x:row>
    <x:row r="13" ht="24" hidden="0" customHeight="1">
      <x:c r="A13" s="3" t="str">
        <x:v>紫微斗数</x:v>
      </x:c>
      <x:c r="B13" s="3" t="str">
        <x:v>守命组合</x:v>
      </x:c>
      <x:c r="C13" s="3" t="str">
        <x:v>ZiWei.my</x:v>
      </x:c>
      <x:c r="D13" s="3" t="str">
        <x:v>太阳星坐守命宫</x:v>
      </x:c>
      <x:c r="E13" s="3" t="str">
        <x:v>https://www.ziwei.my/tai-yang-star/tai-yang-star-at-life-palace/</x:v>
      </x:c>
      <x:c r="F13" s="3" t="str">
        <x:v>已用浏览器读取</x:v>
      </x:c>
      <x:c r="G13" s="3" t="str">
        <x:v>太阳在子午、辰戌、巳亥独坐及丑未、寅申、卯酉同宫组合；各分段三方四正标题和十二种格局的庙旺资料</x:v>
      </x:c>
      <x:c r="H13" s="3" t="str">
        <x:v>仅入库星曜、同宫组合、宫位、亮度与成立条件；不同生年、会照、四化与煞曜分支不得脱离原页前提，也不复制长篇断语</x:v>
      </x:c>
    </x:row>
    <x:row r="14" ht="24" hidden="0" customHeight="1">
      <x:c r="A14" s="3" t="str">
        <x:v>紫微斗数</x:v>
      </x:c>
      <x:c r="B14" s="3" t="str">
        <x:v>守命组合</x:v>
      </x:c>
      <x:c r="C14" s="3" t="str">
        <x:v>ZiWei.my</x:v>
      </x:c>
      <x:c r="D14" s="3" t="str">
        <x:v>武曲星坐守命宫</x:v>
      </x:c>
      <x:c r="E14" s="3" t="str">
        <x:v>https://www.ziwei.my/wu-qu-star/wu-qu-star-at-life-palace/</x:v>
      </x:c>
      <x:c r="F14" s="3" t="str">
        <x:v>已用浏览器读取</x:v>
      </x:c>
      <x:c r="G14" s="3" t="str">
        <x:v>武曲在辰戌独坐及子午、丑未、寅申、卯酉、巳亥同宫组合；各分段三方四正标题和十二种格局的庙旺资料</x:v>
      </x:c>
      <x:c r="H14" s="3" t="str">
        <x:v>仅入库星曜、同宫组合、宫位、亮度与成立条件；不同生年、会照、四化与煞曜分支不得脱离原页前提，也不复制长篇断语</x:v>
      </x:c>
    </x:row>
    <x:row r="15" ht="24" hidden="0" customHeight="1">
      <x:c r="A15" s="3" t="str">
        <x:v>紫微斗数</x:v>
      </x:c>
      <x:c r="B15" s="3" t="str">
        <x:v>守命组合</x:v>
      </x:c>
      <x:c r="C15" s="3" t="str">
        <x:v>ZiWei.my</x:v>
      </x:c>
      <x:c r="D15" s="3" t="str">
        <x:v>天同星坐守命宫</x:v>
      </x:c>
      <x:c r="E15" s="3" t="str">
        <x:v>https://www.ziwei.my/tian-tong-star/tian-tong-star-at-life-palace/</x:v>
      </x:c>
      <x:c r="F15" s="3" t="str">
        <x:v>已用浏览器读取</x:v>
      </x:c>
      <x:c r="G15" s="3" t="str">
        <x:v>天同在卯酉、辰戌、巳亥独坐及子午、丑未、寅申同宫组合；各分段三方四正标题与星曜亮度资料</x:v>
      </x:c>
      <x:c r="H15" s="3" t="str">
        <x:v>仅入库星曜、同宫组合、宫位、亮度与成立条件；会照、四化、煞曜与生年分支不得脱离原页前提，也不复制长篇断语</x:v>
      </x:c>
    </x:row>
    <x:row r="16" ht="36" hidden="0" customHeight="1">
      <x:c r="A16" s="3" t="str">
        <x:v>紫微斗数</x:v>
      </x:c>
      <x:c r="B16" s="3" t="str">
        <x:v>守命组合</x:v>
      </x:c>
      <x:c r="C16" s="3" t="str">
        <x:v>ZiWei.my</x:v>
      </x:c>
      <x:c r="D16" s="3" t="str">
        <x:v>天府星坐守命宫</x:v>
      </x:c>
      <x:c r="E16" s="3" t="str">
        <x:v>https://www.ziwei.my/tian-fu-star/tian-fu-star-at-life-palace/</x:v>
      </x:c>
      <x:c r="F16" s="3" t="str">
        <x:v>已检索公开正文</x:v>
      </x:c>
      <x:c r="G16" s="3" t="str">
        <x:v>天府在丑未、卯酉、巳亥独坐，及子午武曲天府、寅申紫微天府、辰戌廉贞天府的命宫组合、十二种亮度分段与天府天相互参条件</x:v>
      </x:c>
      <x:c r="H16" s="3" t="str">
        <x:v>仅入库星曜、同宫组合、宫位、亮度与互参条件；三方四正、禄忌、辅煞、四化和不同生年分支须逐项附原页定位与成立／减力条件，不复制长篇断语</x:v>
      </x:c>
    </x:row>
    <x:row r="17" ht="24" hidden="0" customHeight="1">
      <x:c r="A17" s="3" t="str">
        <x:v>紫微斗数</x:v>
      </x:c>
      <x:c r="B17" s="3" t="str">
        <x:v>守命组合</x:v>
      </x:c>
      <x:c r="C17" s="3" t="str">
        <x:v>ZiWei.my</x:v>
      </x:c>
      <x:c r="D17" s="3" t="str">
        <x:v>廉贞星坐守命宫</x:v>
      </x:c>
      <x:c r="E17" s="3" t="str">
        <x:v>https://www.ziwei.my/lian-zhen-star/lian-zhen-star-at-life-palace/</x:v>
      </x:c>
      <x:c r="F17" s="3" t="str">
        <x:v>已检索公开正文</x:v>
      </x:c>
      <x:c r="G17" s="3" t="str">
        <x:v>廉贞在寅申独坐，及子午廉贞天相、丑未廉贞七杀、卯酉廉贞破军、辰戌廉贞天府、巳亥廉贞贪狼的命宫组合与十二种亮度分段</x:v>
      </x:c>
      <x:c r="H17" s="3" t="str">
        <x:v>仅入库星曜、同宫组合、宫位与亮度；格名、三方四正、四化、禄忌、辅煞及不同流派专题须逐项附直接来源与成立／减力条件，不复制长篇断语</x:v>
      </x:c>
    </x:row>
    <x:row r="18" ht="24" hidden="0" customHeight="1">
      <x:c r="A18" s="3" t="str">
        <x:v>紫微斗数</x:v>
      </x:c>
      <x:c r="B18" s="3" t="str">
        <x:v>守命组合</x:v>
      </x:c>
      <x:c r="C18" s="3" t="str">
        <x:v>ZiWei.my</x:v>
      </x:c>
      <x:c r="D18" s="3" t="str">
        <x:v>太阴星坐守命宫</x:v>
      </x:c>
      <x:c r="E18" s="3" t="str">
        <x:v>https://www.ziwei.my/tai-yin-star/tai-yin-star-at-life-palace/</x:v>
      </x:c>
      <x:c r="F18" s="3" t="str">
        <x:v>已检索公开正文</x:v>
      </x:c>
      <x:c r="G18" s="3" t="str">
        <x:v>太阴在卯酉、辰戌、巳亥独坐，及子午天同太阴、丑未太阳太阴、寅申天机太阴的命宫组合与十二宫亮度资料</x:v>
      </x:c>
      <x:c r="H18" s="3" t="str">
        <x:v>仅入库星曜、同宫组合、宫位与亮度；昼夜、月相、三方四正、会照与煞忌必须逐项附直接来源及成立／减力条件，不复制长篇断语</x:v>
      </x:c>
    </x:row>
    <x:row r="19" ht="24" hidden="0" customHeight="1">
      <x:c r="A19" s="3" t="str">
        <x:v>紫微斗数</x:v>
      </x:c>
      <x:c r="B19" s="3" t="str">
        <x:v>守命组合</x:v>
      </x:c>
      <x:c r="C19" s="3" t="str">
        <x:v>ZiWei.my</x:v>
      </x:c>
      <x:c r="D19" s="3" t="str">
        <x:v>贪狼星坐守命宫</x:v>
      </x:c>
      <x:c r="E19" s="3" t="str">
        <x:v>https://www.ziwei.my/tan-lang-star/tan-lang-star-at-life-palace/</x:v>
      </x:c>
      <x:c r="F19" s="3" t="str">
        <x:v>已检索公开正文</x:v>
      </x:c>
      <x:c r="G19" s="3" t="str">
        <x:v>贪狼在子午、寅申、辰戌独坐，及丑未武曲贪狼、卯酉紫微贪狼、巳亥廉贞贪狼的命宫组合与十二宫亮度资料</x:v>
      </x:c>
      <x:c r="H19" s="3" t="str">
        <x:v>仅入库星曜、同宫组合、宫位与亮度；庙陷、吉煞、制化、三方四正与四化必须逐项附直接来源及成立／减力条件，不复制长篇断语</x:v>
      </x:c>
    </x:row>
    <x:row r="20" ht="24" hidden="0" customHeight="1">
      <x:c r="A20" s="3" t="str">
        <x:v>紫微斗数</x:v>
      </x:c>
      <x:c r="B20" s="3" t="str">
        <x:v>守命组合</x:v>
      </x:c>
      <x:c r="C20" s="3" t="str">
        <x:v>ZiWei.my</x:v>
      </x:c>
      <x:c r="D20" s="3" t="str">
        <x:v>巨门星坐守命宫</x:v>
      </x:c>
      <x:c r="E20" s="3" t="str">
        <x:v>https://www.ziwei.my/ju-men-star/ju-men-star-at-life-palace/</x:v>
      </x:c>
      <x:c r="F20" s="3" t="str">
        <x:v>已检索公开正文</x:v>
      </x:c>
      <x:c r="G20" s="3" t="str">
        <x:v>巨门在子午、辰戌、巳亥独坐，及丑未天同巨门、寅申太阳巨门、卯酉天机巨门的命宫组合与十二宫亮度资料</x:v>
      </x:c>
      <x:c r="H20" s="3" t="str">
        <x:v>仅入库星曜、同宫组合、宫位与亮度；格名、星性、四化、吉煞、对宫及三方会照必须逐项附直接来源及成立／减力条件，不复制长篇断语</x:v>
      </x:c>
    </x:row>
    <x:row r="21" ht="24" hidden="0" customHeight="1">
      <x:c r="A21" s="3" t="str">
        <x:v>紫微斗数</x:v>
      </x:c>
      <x:c r="B21" s="3" t="str">
        <x:v>守命组合</x:v>
      </x:c>
      <x:c r="C21" s="3" t="str">
        <x:v>ZiWei.my</x:v>
      </x:c>
      <x:c r="D21" s="3" t="str">
        <x:v>天相星坐守命宫</x:v>
      </x:c>
      <x:c r="E21" s="3" t="str">
        <x:v>https://www.ziwei.my/tian-xiang-star/tian-xiang-star-at-life-palace/</x:v>
      </x:c>
      <x:c r="F21" s="3" t="str">
        <x:v>已检索公开正文</x:v>
      </x:c>
      <x:c r="G21" s="3" t="str">
        <x:v>天相在丑未、卯酉、巳亥独坐，及子午廉贞天相、寅申武曲天相、辰戌紫微天相的命宫组合与十二宫亮度资料</x:v>
      </x:c>
      <x:c r="H21" s="3" t="str">
        <x:v>仅入库星曜、同宫组合、宫位、亮度及两夹宫复核条件；格名、四化、吉煞、三方四正与各宫位解释必须逐项附直接来源及成立／减力条件，不复制长篇断语</x:v>
      </x:c>
    </x:row>
    <x:row r="22" ht="24" hidden="0" customHeight="1">
      <x:c r="A22" s="3" t="str">
        <x:v>紫微斗数</x:v>
      </x:c>
      <x:c r="B22" s="3" t="str">
        <x:v>守命组合</x:v>
      </x:c>
      <x:c r="C22" s="3" t="str">
        <x:v>ZiWei.my</x:v>
      </x:c>
      <x:c r="D22" s="3" t="str">
        <x:v>天梁星坐守命宫</x:v>
      </x:c>
      <x:c r="E22" s="3" t="str">
        <x:v>https://www.ziwei.my/tian-liang-star/tian-liang-star-at-life-palace/</x:v>
      </x:c>
      <x:c r="F22" s="3" t="str">
        <x:v>已检索公开正文</x:v>
      </x:c>
      <x:c r="G22" s="3" t="str">
        <x:v>天梁在子午、丑未、巳亥独坐，及寅申天同天梁、卯酉太阳天梁、辰戌天机天梁的命宫组合与十二宫亮度资料</x:v>
      </x:c>
      <x:c r="H22" s="3" t="str">
        <x:v>仅入库星曜、同宫组合、宫位与亮度；星情、格名、四化、吉煞与会照条件必须逐项附直接来源及成立／减力条件，不复制长篇断语</x:v>
      </x:c>
    </x:row>
    <x:row r="23" ht="24" hidden="0" customHeight="1">
      <x:c r="A23" s="3" t="str">
        <x:v>紫微斗数</x:v>
      </x:c>
      <x:c r="B23" s="3" t="str">
        <x:v>守命组合</x:v>
      </x:c>
      <x:c r="C23" s="3" t="str">
        <x:v>ZiWei.my</x:v>
      </x:c>
      <x:c r="D23" s="3" t="str">
        <x:v>七杀星坐守命宫</x:v>
      </x:c>
      <x:c r="E23" s="3" t="str">
        <x:v>https://www.ziwei.my/qi-sha-star/qi-sha-star-at-life-palace/</x:v>
      </x:c>
      <x:c r="F23" s="3" t="str">
        <x:v>已检索公开正文</x:v>
      </x:c>
      <x:c r="G23" s="3" t="str">
        <x:v>七杀在子午、寅申、辰戌独坐，及丑未廉贞七杀、卯酉武曲七杀、巳亥紫微七杀的命宫组合与十二宫亮度资料</x:v>
      </x:c>
      <x:c r="H23" s="3" t="str">
        <x:v>仅入库星曜、同宫组合、宫位与亮度；紫微同度／对照、格名、星情、四化、吉煞与三方会照必须逐项附直接来源及成立／减力条件，不复制长篇断语</x:v>
      </x:c>
    </x:row>
    <x:row r="24" ht="24" hidden="0" customHeight="1">
      <x:c r="A24" s="3" t="str">
        <x:v>紫微斗数</x:v>
      </x:c>
      <x:c r="B24" s="3" t="str">
        <x:v>守命组合</x:v>
      </x:c>
      <x:c r="C24" s="3" t="str">
        <x:v>ZiWei.my</x:v>
      </x:c>
      <x:c r="D24" s="3" t="str">
        <x:v>破军星坐守命宫</x:v>
      </x:c>
      <x:c r="E24" s="3" t="str">
        <x:v>https://www.ziwei.my/po-jun-star/po-jun-star-at-life-palace/</x:v>
      </x:c>
      <x:c r="F24" s="3" t="str">
        <x:v>已检索公开正文</x:v>
      </x:c>
      <x:c r="G24" s="3" t="str">
        <x:v>破军在子午、寅申、辰戌独坐，及丑未紫微破军、卯酉廉贞破军、巳亥武曲破军的命宫组合与十二宫亮度资料</x:v>
      </x:c>
      <x:c r="H24" s="3" t="str">
        <x:v>仅入库星曜、同宫组合、宫位与亮度；同度组合、禄忌、格名、星情、吉煞、对宫与三方会照必须逐项附直接来源及成立／减力条件，不复制长篇断语</x:v>
      </x:c>
    </x:row>
    <x:row r="25" ht="15" hidden="0" customHeight="1">
      <x:c r="A25" s="3" t="str">
        <x:v>紫微斗数</x:v>
      </x:c>
      <x:c r="B25" s="3" t="str">
        <x:v>六十星系</x:v>
      </x:c>
      <x:c r="C25" s="3" t="str">
        <x:v>明明观止</x:v>
      </x:c>
      <x:c r="D25" s="3" t="str">
        <x:v>紫微斗数教学目录</x:v>
      </x:c>
      <x:c r="E25" s="3" t="str">
        <x:v>https://mingming3.com/cn/ziwei/articles?tag=%E6%8E%A2%E8%8A%B1</x:v>
      </x:c>
      <x:c r="F25" s="3" t="str">
        <x:v>可访问</x:v>
      </x:c>
      <x:c r="G25" s="3" t="str">
        <x:v>星系、十二宫、四化、限运等主题入口</x:v>
      </x:c>
      <x:c r="H25" s="3" t="str">
        <x:v>目录用于追踪；每篇正文和其所用口径仍须分别记录</x:v>
      </x:c>
    </x:row>
    <x:row r="26" ht="24" hidden="0" customHeight="1">
      <x:c r="A26" s="3" t="str">
        <x:v>紫微斗数</x:v>
      </x:c>
      <x:c r="B26" s="3" t="str">
        <x:v>六十星系</x:v>
      </x:c>
      <x:c r="C26" s="3" t="str">
        <x:v>明明观止</x:v>
      </x:c>
      <x:c r="D26" s="3" t="str">
        <x:v>天府丑未坐命</x:v>
      </x:c>
      <x:c r="E26" s="3" t="str">
        <x:v>https://mingming3.com/cn/ziwei/articles/sixty-chart-format/tianfu_chouwei</x:v>
      </x:c>
      <x:c r="F26" s="3" t="str">
        <x:v>已由公开检索核对</x:v>
      </x:c>
      <x:c r="G26" s="3" t="str">
        <x:v>天府独坐丑未的命宫、对宫、财帛、官禄和生年分支页面结构</x:v>
      </x:c>
      <x:c r="H26" s="3" t="str">
        <x:v>仅记录星系与宫位条件；页面格名、吉凶与职业取象属于该站现代诠释，未经多源校勘不得转为默认规则</x:v>
      </x:c>
    </x:row>
    <x:row r="27" ht="24" hidden="0" customHeight="1">
      <x:c r="A27" s="3" t="str">
        <x:v>紫微斗数</x:v>
      </x:c>
      <x:c r="B27" s="3" t="str">
        <x:v>六十星系</x:v>
      </x:c>
      <x:c r="C27" s="3" t="str">
        <x:v>明明观止</x:v>
      </x:c>
      <x:c r="D27" s="3" t="str">
        <x:v>天府卯酉坐命</x:v>
      </x:c>
      <x:c r="E27" s="3" t="str">
        <x:v>https://mingming3.com/cn/ziwei/articles/sixty-chart-format/tianfu_maoyou</x:v>
      </x:c>
      <x:c r="F27" s="3" t="str">
        <x:v>已由公开检索核对</x:v>
      </x:c>
      <x:c r="G27" s="3" t="str">
        <x:v>天府独坐卯酉的命宫、对宫、财帛、官禄和生年分支页面结构</x:v>
      </x:c>
      <x:c r="H27" s="3" t="str">
        <x:v>仅记录星系与宫位条件；页面格名、吉凶与职业取象属于该站现代诠释，未经多源校勘不得转为默认规则</x:v>
      </x:c>
    </x:row>
    <x:row r="28" ht="24" hidden="0" customHeight="1">
      <x:c r="A28" s="3" t="str">
        <x:v>紫微斗数</x:v>
      </x:c>
      <x:c r="B28" s="3" t="str">
        <x:v>六十星系</x:v>
      </x:c>
      <x:c r="C28" s="3" t="str">
        <x:v>明明观止</x:v>
      </x:c>
      <x:c r="D28" s="3" t="str">
        <x:v>天府巳亥坐命</x:v>
      </x:c>
      <x:c r="E28" s="3" t="str">
        <x:v>https://mingming3.com/cn/ziwei/articles/sixty-chart-format/tianfu_sihai</x:v>
      </x:c>
      <x:c r="F28" s="3" t="str">
        <x:v>已由公开检索核对</x:v>
      </x:c>
      <x:c r="G28" s="3" t="str">
        <x:v>天府独坐巳亥的命宫、对宫、财帛、官禄和生年分支页面结构</x:v>
      </x:c>
      <x:c r="H28" s="3" t="str">
        <x:v>仅记录星系与宫位条件；页面格名、吉凶与职业取象属于该站现代诠释，未经多源校勘不得转为默认规则</x:v>
      </x:c>
    </x:row>
    <x:row r="29" ht="15" hidden="0" customHeight="1">
      <x:c r="A29" s="3" t="str">
        <x:v>紫微斗数</x:v>
      </x:c>
      <x:c r="B29" s="3" t="str">
        <x:v>限运时间层</x:v>
      </x:c>
      <x:c r="C29" s="3" t="str">
        <x:v>明明观止</x:v>
      </x:c>
      <x:c r="D29" s="3" t="str">
        <x:v>本命、大限、流年、流月</x:v>
      </x:c>
      <x:c r="E29" s="3" t="str">
        <x:v>https://mingming3.com/cn/ziwei/articles/ziwei_timing</x:v>
      </x:c>
      <x:c r="F29" s="3" t="str">
        <x:v>已由公开检索核对</x:v>
      </x:c>
      <x:c r="G29" s="3" t="str">
        <x:v>本命固定盘、大限十年一宫、流年与流月的时间层及叠盘顺序</x:v>
      </x:c>
      <x:c r="H29" s="3" t="str">
        <x:v>属于该站现代教学口径；可校对时间层字段，未明示的忌冲组合不得借此补成算法</x:v>
      </x:c>
    </x:row>
    <x:row r="30" ht="24" hidden="0" customHeight="1">
      <x:c r="A30" s="3" t="str">
        <x:v>八字·子平</x:v>
      </x:c>
      <x:c r="B30" s="3" t="str">
        <x:v>格局与用神</x:v>
      </x:c>
      <x:c r="C30" s="3" t="str">
        <x:v>子平真诠原文</x:v>
      </x:c>
      <x:c r="D30" s="3" t="str">
        <x:v>子平真诠原本</x:v>
      </x:c>
      <x:c r="E30" s="3" t="str">
        <x:v>https://www.vr-d.com/pdf-file/%E5%91%BD%E7%90%86%2F%E5%AD%90%E5%B9%B3%E7%9C%9F%E8%AF%A0%E5%8E%9F%E6%9C%AC.pdf</x:v>
      </x:c>
      <x:c r="F30" s="3" t="str">
        <x:v>已定位</x:v>
      </x:c>
      <x:c r="G30" s="3" t="str">
        <x:v>月令、格局、用神、相神与行运章节</x:v>
      </x:c>
      <x:c r="H30" s="3" t="str">
        <x:v>仅可作为采用该书口径时的来源；与调候、旺衰等体系需分层</x:v>
      </x:c>
    </x:row>
    <x:row r="31" ht="15" hidden="0" customHeight="1">
      <x:c r="A31" s="3" t="str">
        <x:v>八字·子平</x:v>
      </x:c>
      <x:c r="B31" s="3" t="str">
        <x:v>调候</x:v>
      </x:c>
      <x:c r="C31" s="3" t="str">
        <x:v>穷通宝鉴</x:v>
      </x:c>
      <x:c r="D31" s="3" t="str">
        <x:v>穷通宝鉴全文</x:v>
      </x:c>
      <x:c r="E31" s="3" t="str">
        <x:v>https://www.gushiwen.cn/guwen/book_112f16f9deeb.aspx</x:v>
      </x:c>
      <x:c r="F31" s="3" t="str">
        <x:v>已用浏览器读取</x:v>
      </x:c>
      <x:c r="G31" s="3" t="str">
        <x:v>五行总论及金、木、水、火、土各卷的月令调候检索入口</x:v>
      </x:c>
      <x:c r="H31" s="3" t="str">
        <x:v>已读取目录页；具体十干月令条目仍须逐篇定位，调候、格局和扶抑不得合成无来源总分表</x:v>
      </x:c>
    </x:row>
    <x:row r="32" ht="15" hidden="0" customHeight="1">
      <x:c r="A32" s="3" t="str">
        <x:v>八字·盲派</x:v>
      </x:c>
      <x:c r="B32" s="3" t="str">
        <x:v>宾主·体用·做功</x:v>
      </x:c>
      <x:c r="C32" s="3" t="str">
        <x:v>灵犀问道</x:v>
      </x:c>
      <x:c r="D32" s="3" t="str">
        <x:v>盲派命理教材条目</x:v>
      </x:c>
      <x:c r="E32" s="3" t="str">
        <x:v>https://asklingxi.com/books/duanjianye-mangpai-gaoji/01-ba-zi-ru-shou/02-jie</x:v>
      </x:c>
      <x:c r="F32" s="3" t="str">
        <x:v>已定位</x:v>
      </x:c>
      <x:c r="G32" s="3" t="str">
        <x:v>宾主、体用、做功的资料入口</x:v>
      </x:c>
      <x:c r="H32" s="3" t="str">
        <x:v>盲派岁运输出应采用引动—宾主—做功—宫位—应事，不复用子平评分</x:v>
      </x:c>
    </x:row>
    <x:row r="33" ht="15" hidden="0" customHeight="1">
      <x:c r="A33" s="3" t="str">
        <x:v>八字·子平</x:v>
      </x:c>
      <x:c r="B33" s="3" t="str">
        <x:v>月令与人元</x:v>
      </x:c>
      <x:c r="C33" s="3" t="str">
        <x:v>中国哲学书电子化计划</x:v>
      </x:c>
      <x:c r="D33" s="3" t="str">
        <x:v>滴天髓阐微·月令</x:v>
      </x:c>
      <x:c r="E33" s="3" t="str">
        <x:v>https://ctext.org/wiki.pl?chapter=257437&amp;if=gb&amp;remap=gb</x:v>
      </x:c>
      <x:c r="F33" s="3" t="str">
        <x:v>已定位</x:v>
      </x:c>
      <x:c r="G33" s="3" t="str">
        <x:v>月令提纲、人元司令及天干引助的校勘线索</x:v>
      </x:c>
      <x:c r="H33" s="3" t="str">
        <x:v>已由公开检索定位；直连页面可能受站点限制，须复核版本与上下文，不能据摘要直接落分</x:v>
      </x:c>
    </x:row>
    <x:row r="34" ht="15" hidden="0" customHeight="1">
      <x:c r="A34" s="3" t="str">
        <x:v>八字·子平</x:v>
      </x:c>
      <x:c r="B34" s="3" t="str">
        <x:v>四柱基础卷次</x:v>
      </x:c>
      <x:c r="C34" s="3" t="str">
        <x:v>中国哲学书电子化计划</x:v>
      </x:c>
      <x:c r="D34" s="3" t="str">
        <x:v>三命通会（四库本）</x:v>
      </x:c>
      <x:c r="E34" s="3" t="str">
        <x:v>https://ctext.org/library.pl?if=gb&amp;remap=gb&amp;res=6109</x:v>
      </x:c>
      <x:c r="F34" s="3" t="str">
        <x:v>可访问</x:v>
      </x:c>
      <x:c r="G34" s="3" t="str">
        <x:v>人元司事、四时节气、旺相休囚、年月日时与大运的卷次入口</x:v>
      </x:c>
      <x:c r="H34" s="3" t="str">
        <x:v>只用于底本、卷次与章节定位；具体规则仍须逐条回看正文</x:v>
      </x:c>
    </x:row>
    <x:row r="35" ht="24" hidden="0" customHeight="1">
      <x:c r="A35" s="3" t="str">
        <x:v>八字·子平</x:v>
      </x:c>
      <x:c r="B35" s="3" t="str">
        <x:v>乙木月令调候</x:v>
      </x:c>
      <x:c r="C35" s="3" t="str">
        <x:v>穷通宝鉴</x:v>
      </x:c>
      <x:c r="D35" s="3" t="str">
        <x:v>卷二·论木</x:v>
      </x:c>
      <x:c r="E35" s="3" t="str">
        <x:v>https://m.gushiwen.cn/guwen/bookv_bbc940bfd959.aspx</x:v>
      </x:c>
      <x:c r="F35" s="3" t="str">
        <x:v>已用浏览器读取</x:v>
      </x:c>
      <x:c r="G35" s="3" t="str">
        <x:v>甲、乙木月令调候条目，可定位三夏乙木和六月乙木的条件化原文</x:v>
      </x:c>
      <x:c r="H35" s="3" t="str">
        <x:v>只适用于该书调候口径；不得删除月令、组合、透藏与旺衰前提，更不能同项目评分权重混称古籍规则</x:v>
      </x:c>
    </x:row>
    <x:row r="36" ht="24" hidden="0" customHeight="1">
      <x:c r="A36" s="3" t="str">
        <x:v>八字·子平</x:v>
      </x:c>
      <x:c r="B36" s="3" t="str">
        <x:v>人元司令</x:v>
      </x:c>
      <x:c r="C36" s="3" t="str">
        <x:v>三命通会</x:v>
      </x:c>
      <x:c r="D36" s="3" t="str">
        <x:v>卷二·论人元司事</x:v>
      </x:c>
      <x:c r="E36" s="3" t="str">
        <x:v>https://www.shidianguji.com/zh/book/SK1610/chapter/1kf5v6o9by5o3</x:v>
      </x:c>
      <x:c r="F36" s="3" t="str">
        <x:v>已定位公开正文</x:v>
      </x:c>
      <x:c r="G36" s="3" t="str">
        <x:v>支藏人元、月令用神及十二月藏干司事日数</x:v>
      </x:c>
      <x:c r="H36" s="3" t="str">
        <x:v>可用于人元司令表的版本化校核；出生时刻、节气交接、跨日与项目权重仍须由时间模块及规则契约另行处理</x:v>
      </x:c>
    </x:row>
    <x:row r="37" ht="24" hidden="0" customHeight="1">
      <x:c r="A37" s="3" t="str">
        <x:v>八字·盲派</x:v>
      </x:c>
      <x:c r="B37" s="3" t="str">
        <x:v>宾主·体用·岁运引动</x:v>
      </x:c>
      <x:c r="C37" s="3" t="str">
        <x:v>灵犀问道</x:v>
      </x:c>
      <x:c r="D37" s="3" t="str">
        <x:v>段建业盲派命理高级教程：宾主与体用／反局岁运／岁运关系</x:v>
      </x:c>
      <x:c r="E37" s="3" t="str">
        <x:v>https://asklingxi.com/books/duanjianye-mangpai-gaoji/01-ba-zi-ru-shou/02-jie</x:v>
      </x:c>
      <x:c r="F37" s="3" t="str">
        <x:v>已检索公开正文</x:v>
      </x:c>
      <x:c r="G37" s="3" t="str">
        <x:v>宾主与体用、原局—大运—流年引动、反局与岁运并临等教材章节定位</x:v>
      </x:c>
      <x:c r="H37" s="3" t="str">
        <x:v>仅适用于该教材的盲派口径；征太岁、晦太岁及层功量化必须以 rule_set 显式启用并记录条件，不得混入子平评分或写成默认断语</x:v>
      </x:c>
    </x:row>
    <x:row r="38" ht="24" hidden="0" customHeight="1">
      <x:c r="A38" s="3" t="str">
        <x:v>八字·子平</x:v>
      </x:c>
      <x:c r="B38" s="3" t="str">
        <x:v>格局·财官术语</x:v>
      </x:c>
      <x:c r="C38" s="3" t="str">
        <x:v>维基文库</x:v>
      </x:c>
      <x:c r="D38" s="3" t="str">
        <x:v>渊海子平</x:v>
      </x:c>
      <x:c r="E38" s="3" t="str">
        <x:v>https://zh.wikisource.org/zh-hans/%E6%B7%B5%E6%B5%B7%E5%AD%90%E5%B9%B3</x:v>
      </x:c>
      <x:c r="F38" s="3" t="str">
        <x:v>已定位公开转录</x:v>
      </x:c>
      <x:c r="G38" s="3" t="str">
        <x:v>格局、财官、身强身弱及相关歌诀的术语与版本检索入口</x:v>
      </x:c>
      <x:c r="H38" s="3" t="str">
        <x:v>歌诀与断辞存在传本、上下文与条件问题；仅用于术语和条件比较，不能变成项目统一评分或确定应事</x:v>
      </x:c>
    </x:row>
    <x:row r="39" ht="24" hidden="0" customHeight="1">
      <x:c r="A39" s="3" t="str">
        <x:v>六爻</x:v>
      </x:c>
      <x:c r="B39" s="3" t="str">
        <x:v>用神·世应·动变</x:v>
      </x:c>
      <x:c r="C39" s="3" t="str">
        <x:v>中国哲学书电子化计划</x:v>
      </x:c>
      <x:c r="D39" s="3" t="str">
        <x:v>卜筮正宗</x:v>
      </x:c>
      <x:c r="E39" s="3" t="str">
        <x:v>https://ctext.org/wiki.pl?chapter=889452&amp;if=gb</x:v>
      </x:c>
      <x:c r="F39" s="3" t="str">
        <x:v>需浏览器复核（当前直连403）</x:v>
      </x:c>
      <x:c r="G39" s="3" t="str">
        <x:v>用神、原忌仇神、世应、飞伏、旬空、月破等目录与正文</x:v>
      </x:c>
      <x:c r="H39" s="3" t="str">
        <x:v>排盘和断卦规则必须区分；具体章节与原文定位写入规则依据</x:v>
      </x:c>
    </x:row>
    <x:row r="40" ht="24" hidden="0" customHeight="1">
      <x:c r="A40" s="3" t="str">
        <x:v>六爻</x:v>
      </x:c>
      <x:c r="B40" s="3" t="str">
        <x:v>原忌仇神</x:v>
      </x:c>
      <x:c r="C40" s="3" t="str">
        <x:v>中国哲学书电子化计划</x:v>
      </x:c>
      <x:c r="D40" s="3" t="str">
        <x:v>卜筮正宗·原忌仇神论</x:v>
      </x:c>
      <x:c r="E40" s="3" t="str">
        <x:v>https://ctext.org/wiki.pl?chapter=801184&amp;if=gb&amp;remap=gb</x:v>
      </x:c>
      <x:c r="F40" s="3" t="str">
        <x:v>需浏览器复核（当前直连403）</x:v>
      </x:c>
      <x:c r="G40" s="3" t="str">
        <x:v>用神、原神、忌神、仇神及生克关系</x:v>
      </x:c>
      <x:c r="H40" s="3" t="str">
        <x:v>不以短句替代完整的动静、旺衰、旬空与日月作用条件</x:v>
      </x:c>
    </x:row>
    <x:row r="41" ht="36" hidden="0" customHeight="1">
      <x:c r="A41" s="3" t="str">
        <x:v>六爻</x:v>
      </x:c>
      <x:c r="B41" s="3" t="str">
        <x:v>校本书目信息</x:v>
      </x:c>
      <x:c r="C41" s="3" t="str">
        <x:v>维基文库</x:v>
      </x:c>
      <x:c r="D41" s="3" t="str">
        <x:v>卜筮正宗（河潞武子龄校本）卷前</x:v>
      </x:c>
      <x:c r="E41" s="3" t="str">
        <x:v>https://zh.wikisource.org/zh-hans/%E5%8D%9C%E7%AD%AE%E6%AD%A3%E5%AE%97%EF%BC%88%E6%B2%B3%E6%BD%9E%E6%AD%A6%E5%AD%90%E9%BE%84%E6%A0%A1%E6%9C%AC%EF%BC%89/%E5%8D%B7%E5%89%8D</x:v>
      </x:c>
      <x:c r="F41" s="3" t="str">
        <x:v>部分可访问</x:v>
      </x:c>
      <x:c r="G41" s="3" t="str">
        <x:v>作者、刊刻年份、馆藏底本与卷前信息</x:v>
      </x:c>
      <x:c r="H41" s="3" t="str">
        <x:v>卷 01 当前为红链；仅作书目信息，不能当作正文规则来源</x:v>
      </x:c>
    </x:row>
    <x:row r="42" ht="36" hidden="0" customHeight="1">
      <x:c r="A42" s="3" t="str">
        <x:v>六爻</x:v>
      </x:c>
      <x:c r="B42" s="3" t="str">
        <x:v>校本总目录</x:v>
      </x:c>
      <x:c r="C42" s="3" t="str">
        <x:v>维基文库</x:v>
      </x:c>
      <x:c r="D42" s="3" t="str">
        <x:v>卜筮正宗（河潞武子龄校本）</x:v>
      </x:c>
      <x:c r="E42" s="3" t="str">
        <x:v>https://zh.wikisource.org/zh/%E5%8D%9C%E7%AD%AE%E6%AD%A3%E5%AE%97%EF%BC%88%E6%B2%B3%E6%BD%9E%E6%AD%A6%E5%AD%90%E9%BE%84%E6%A0%A1%E6%9C%AC%EF%BC%89</x:v>
      </x:c>
      <x:c r="F42" s="3" t="str">
        <x:v>已用浏览器读取</x:v>
      </x:c>
      <x:c r="G42" s="3" t="str">
        <x:v>十四卷、作者、刊刻与馆藏底本的公开索引</x:v>
      </x:c>
      <x:c r="H42" s="3" t="str">
        <x:v>总目录只证明卷次和底本；具体用神、世应、动变条目仍须逐页定位</x:v>
      </x:c>
    </x:row>
    <x:row r="43" ht="24" hidden="0" customHeight="1">
      <x:c r="A43" s="3" t="str">
        <x:v>六爻</x:v>
      </x:c>
      <x:c r="B43" s="3" t="str">
        <x:v>用神与世应</x:v>
      </x:c>
      <x:c r="C43" s="3" t="str">
        <x:v>中国哲学书电子化计划</x:v>
      </x:c>
      <x:c r="D43" s="3" t="str">
        <x:v>卜筮正宗·用神分类、世应、原神忌神</x:v>
      </x:c>
      <x:c r="E43" s="3" t="str">
        <x:v>https://ctext.org/wiki.pl?chapter=889452&amp;if=gb</x:v>
      </x:c>
      <x:c r="F43" s="3" t="str">
        <x:v>已定位</x:v>
      </x:c>
      <x:c r="G43" s="3" t="str">
        <x:v>用神分类、世应、原神与忌神的检索定位</x:v>
      </x:c>
      <x:c r="H43" s="3" t="str">
        <x:v>CText 直连可能出现 403 或 OCR 显示问题；正式规则必须复核原页或影印</x:v>
      </x:c>
    </x:row>
    <x:row r="44" ht="24" hidden="0" customHeight="1">
      <x:c r="A44" s="3" t="str">
        <x:v>六爻</x:v>
      </x:c>
      <x:c r="B44" s="3" t="str">
        <x:v>用神·世应·动静卷次</x:v>
      </x:c>
      <x:c r="C44" s="3" t="str">
        <x:v>识典古籍</x:v>
      </x:c>
      <x:c r="D44" s="3" t="str">
        <x:v>卜筮正宗全书·十八论／目录</x:v>
      </x:c>
      <x:c r="E44" s="3" t="str">
        <x:v>https://www.shidianguji.com/zh/book/HY1439/chapter/1m70sj7gg2t5b</x:v>
      </x:c>
      <x:c r="F44" s="3" t="str">
        <x:v>已用浏览器读取</x:v>
      </x:c>
      <x:c r="G44" s="3" t="str">
        <x:v>用神分类定例，及安世应、动静、原忌仇神、月破、旬空、反吟伏吟的卷次定位</x:v>
      </x:c>
      <x:c r="H44" s="3" t="str">
        <x:v>用神分类页可直接核对；目录只作章节定位。公开转录和译注不取代底本校勘，不抽为长篇默认断辞</x:v>
      </x:c>
    </x:row>
    <x:row r="45" ht="24" hidden="0" customHeight="1">
      <x:c r="A45" s="3" t="str">
        <x:v>六爻</x:v>
      </x:c>
      <x:c r="B45" s="3" t="str">
        <x:v>世应·动静·月破</x:v>
      </x:c>
      <x:c r="C45" s="3" t="str">
        <x:v>识典古籍</x:v>
      </x:c>
      <x:c r="D45" s="3" t="str">
        <x:v>卜筮正宗·卷一</x:v>
      </x:c>
      <x:c r="E45" s="3" t="str">
        <x:v>https://www.shidianguji.com/book/AMNL0060/chapter/1ma05akk4w74j</x:v>
      </x:c>
      <x:c r="F45" s="3" t="str">
        <x:v>已定位公开正文</x:v>
      </x:c>
      <x:c r="G45" s="3" t="str">
        <x:v>安世应诀、三合会局歌、世应生克空亡动静诀、六爻安静／乱动诀、原神忌神歌与月破定例</x:v>
      </x:c>
      <x:c r="H45" s="3" t="str">
        <x:v>月日、用神、动变与占类前提仍须同时记录，不能把单句诀文改为默认断语</x:v>
      </x:c>
    </x:row>
    <x:row r="46" ht="15" hidden="0" customHeight="1">
      <x:c r="A46" s="3" t="str">
        <x:v>六爻</x:v>
      </x:c>
      <x:c r="B46" s="3" t="str">
        <x:v>旬空·月破·反伏吟</x:v>
      </x:c>
      <x:c r="C46" s="3" t="str">
        <x:v>识典古籍</x:v>
      </x:c>
      <x:c r="D46" s="3" t="str">
        <x:v>卜筮正宗·卷十三</x:v>
      </x:c>
      <x:c r="E46" s="3" t="str">
        <x:v>https://www.shidianguji.com/book/HY1439/chapter/1koioqnaleoei</x:v>
      </x:c>
      <x:c r="F46" s="3" t="str">
        <x:v>已定位公开正文</x:v>
      </x:c>
      <x:c r="G46" s="3" t="str">
        <x:v>反吟、伏吟、旬空、月破及尽静尽发问答</x:v>
      </x:c>
      <x:c r="H46" s="3" t="str">
        <x:v>须保留生克、动静、填实／出破等条件，不能处理成无条件的单一吉凶标签</x:v>
      </x:c>
    </x:row>
    <x:row r="47" ht="24" hidden="0" customHeight="1">
      <x:c r="A47" s="3" t="str">
        <x:v>六爻</x:v>
      </x:c>
      <x:c r="B47" s="3" t="str">
        <x:v>应期·伏神·出旬出破</x:v>
      </x:c>
      <x:c r="C47" s="3" t="str">
        <x:v>中国哲学书电子化计划／识典古籍</x:v>
      </x:c>
      <x:c r="D47" s="3" t="str">
        <x:v>卜筮正宗·原忌仇神与伏神条目／卷三／卷四</x:v>
      </x:c>
      <x:c r="E47" s="3" t="str">
        <x:v>https://ctext.org/wiki.pl?chapter=801184&amp;if=en</x:v>
      </x:c>
      <x:c r="F47" s="3" t="str">
        <x:v>已检索公开正文</x:v>
      </x:c>
      <x:c r="G47" s="3" t="str">
        <x:v>原神生扶、伏神出露、旬空出旬值日及月破出月填合的条件化应期线索</x:v>
      </x:c>
      <x:c r="H47" s="3" t="str">
        <x:v>应期候选须列作用爻、触发法、成立条件、阻滞条件和时间层；出旬／出破不能替代动静、生克、日月、旺衰与伏现复核</x:v>
      </x:c>
    </x:row>
    <x:row r="48" ht="24" hidden="0" customHeight="1">
      <x:c r="A48" s="3" t="str">
        <x:v>六爻</x:v>
      </x:c>
      <x:c r="B48" s="3" t="str">
        <x:v>月建·日辰·空破联动</x:v>
      </x:c>
      <x:c r="C48" s="3" t="str">
        <x:v>中国哲学书电子化计划</x:v>
      </x:c>
      <x:c r="D48" s="3" t="str">
        <x:v>增删卜易·卷二／卷四</x:v>
      </x:c>
      <x:c r="E48" s="3" t="str">
        <x:v>https://ctext.org/wiki.pl?chapter=157683&amp;if=en</x:v>
      </x:c>
      <x:c r="F48" s="3" t="str">
        <x:v>已定位公开正文</x:v>
      </x:c>
      <x:c r="G48" s="3" t="str">
        <x:v>月建、日辰、旬空、月破、动爻与用爻的生克合冲在卦例中的联动取法</x:v>
      </x:c>
      <x:c r="H48" s="3" t="str">
        <x:v>月建作用、日辰作用与出空／出破／值日等触发必须分字段记录；单一触发只产生应期候选，不替代用爻、原忌仇神与动变的整链复核</x:v>
      </x:c>
    </x:row>
    <x:row r="49" ht="15" hidden="0" customHeight="1">
      <x:c r="A49" s="3" t="str">
        <x:v>六爻</x:v>
      </x:c>
      <x:c r="B49" s="3" t="str">
        <x:v>月日·世应·动变</x:v>
      </x:c>
      <x:c r="C49" s="3" t="str">
        <x:v>维基文库</x:v>
      </x:c>
      <x:c r="D49" s="3" t="str">
        <x:v>黄金策</x:v>
      </x:c>
      <x:c r="E49" s="3" t="str">
        <x:v>https://zh.wikisource.org/zh-hans/%E9%BB%84%E9%87%91%E7%AD%96</x:v>
      </x:c>
      <x:c r="F49" s="3" t="str">
        <x:v>已定位公开转录</x:v>
      </x:c>
      <x:c r="G49" s="3" t="str">
        <x:v>月建、日辰、世应、动变与生克合冲的概念分工</x:v>
      </x:c>
      <x:c r="H49" s="3" t="str">
        <x:v>仅作参与项层次的交叉核对；不能用单句口诀替代用神、旺衰、动静与占类的完整条件</x:v>
      </x:c>
    </x:row>
    <x:row r="50" ht="24" hidden="0" customHeight="1">
      <x:c r="A50" s="3" t="str">
        <x:v>大六壬</x:v>
      </x:c>
      <x:c r="B50" s="3" t="str">
        <x:v>课体与断法</x:v>
      </x:c>
      <x:c r="C50" s="3" t="str">
        <x:v>毕法赋公开整理</x:v>
      </x:c>
      <x:c r="D50" s="3" t="str">
        <x:v>毕法赋</x:v>
      </x:c>
      <x:c r="E50" s="3" t="str">
        <x:v>https://vr-d.com/pdf-file/%E5%8D%A0%E5%8D%9C%2F%E6%AF%95%E6%B3%95%E8%B5%8B.pdf</x:v>
      </x:c>
      <x:c r="F50" s="3" t="str">
        <x:v>已定位</x:v>
      </x:c>
      <x:c r="G50" s="3" t="str">
        <x:v>课传结构、课体名称与赋文索引</x:v>
      </x:c>
      <x:c r="H50" s="3" t="str">
        <x:v>公开整理本需保留版本说明；课体成立条件仍用项目盘局逐项验证</x:v>
      </x:c>
    </x:row>
    <x:row r="51" ht="15" hidden="0" customHeight="1">
      <x:c r="A51" s="3" t="str">
        <x:v>大六壬</x:v>
      </x:c>
      <x:c r="B51" s="3" t="str">
        <x:v>四课三传</x:v>
      </x:c>
      <x:c r="C51" s="3" t="str">
        <x:v>中国哲学书电子化计划</x:v>
      </x:c>
      <x:c r="D51" s="3" t="str">
        <x:v>六壬经纬·卷一演法</x:v>
      </x:c>
      <x:c r="E51" s="3" t="str">
        <x:v>https://ctext.org/wiki.pl?chapter=699111&amp;if=gb</x:v>
      </x:c>
      <x:c r="F51" s="3" t="str">
        <x:v>可访问</x:v>
      </x:c>
      <x:c r="G51" s="3" t="str">
        <x:v>四课起法、贼克优先及三传取法的公开文本</x:v>
      </x:c>
      <x:c r="H51" s="3" t="str">
        <x:v>仅用于明确的发传条件；涉害、遥克、昴星等须逐条保留前提</x:v>
      </x:c>
    </x:row>
    <x:row r="52" ht="15" hidden="0" customHeight="1">
      <x:c r="A52" s="3" t="str">
        <x:v>大六壬</x:v>
      </x:c>
      <x:c r="B52" s="3" t="str">
        <x:v>课体索引</x:v>
      </x:c>
      <x:c r="C52" s="3" t="str">
        <x:v>中国哲学书电子化计划</x:v>
      </x:c>
      <x:c r="D52" s="3" t="str">
        <x:v>六壬大全·卷十</x:v>
      </x:c>
      <x:c r="E52" s="3" t="str">
        <x:v>https://ctext.org/wiki.pl?chapter=611073&amp;if=gb&amp;remap=gb</x:v>
      </x:c>
      <x:c r="F52" s="3" t="str">
        <x:v>可访问</x:v>
      </x:c>
      <x:c r="G52" s="3" t="str">
        <x:v>课体、三传四课及课例的公开文本索引</x:v>
      </x:c>
      <x:c r="H52" s="3" t="str">
        <x:v>课例不自动变成规则；月将、天将、年命和占类必须在盘中明确</x:v>
      </x:c>
    </x:row>
    <x:row r="53" ht="24" hidden="0" customHeight="1">
      <x:c r="A53" s="3" t="str">
        <x:v>大六壬</x:v>
      </x:c>
      <x:c r="B53" s="3" t="str">
        <x:v>八门书目</x:v>
      </x:c>
      <x:c r="C53" s="3" t="str">
        <x:v>中国哲学书电子化计划</x:v>
      </x:c>
      <x:c r="D53" s="3" t="str">
        <x:v>四库全书总目提要·六壬开云观月经</x:v>
      </x:c>
      <x:c r="E53" s="3" t="str">
        <x:v>https://ctext.org/wiki.pl?chapter=730018&amp;if=gb&amp;remap=gb</x:v>
      </x:c>
      <x:c r="F53" s="3" t="str">
        <x:v>可访问</x:v>
      </x:c>
      <x:c r="G53" s="3" t="str">
        <x:v>八门课资料的书目、门次与六壬大全收录关系</x:v>
      </x:c>
      <x:c r="H53" s="3" t="str">
        <x:v>仅作书目与版本线索；八门各门条件与占断仍须回查原书或逐课正文</x:v>
      </x:c>
    </x:row>
    <x:row r="54" ht="24" hidden="0" customHeight="1">
      <x:c r="A54" s="3" t="str">
        <x:v>大六壬</x:v>
      </x:c>
      <x:c r="B54" s="3" t="str">
        <x:v>发用与课体条件</x:v>
      </x:c>
      <x:c r="C54" s="3" t="str">
        <x:v>中国哲学书电子化计划</x:v>
      </x:c>
      <x:c r="D54" s="3" t="str">
        <x:v>六壬大全·卷一、卷七课经集一</x:v>
      </x:c>
      <x:c r="E54" s="3" t="str">
        <x:v>https://ctext.org/wiki.pl?chapter=64230&amp;if=gb&amp;remap=gb</x:v>
      </x:c>
      <x:c r="F54" s="3" t="str">
        <x:v>可访问</x:v>
      </x:c>
      <x:c r="G54" s="3" t="str">
        <x:v>贼克、比用、涉害、遥克、昴星、别责、八专、伏吟等发用法及元首课条件</x:v>
      </x:c>
      <x:c r="H54" s="3" t="str">
        <x:v>页面标明部分文字由 OCR 建立；用于核对成立条件与次序，须保留卷次并回看影印对照</x:v>
      </x:c>
    </x:row>
    <x:row r="55" ht="24" hidden="0" customHeight="1">
      <x:c r="A55" s="3" t="str">
        <x:v>大六壬</x:v>
      </x:c>
      <x:c r="B55" s="3" t="str">
        <x:v>课经与应期</x:v>
      </x:c>
      <x:c r="C55" s="3" t="str">
        <x:v>维基文库</x:v>
      </x:c>
      <x:c r="D55" s="3" t="str">
        <x:v>六壬大全·卷七《课经集一》</x:v>
      </x:c>
      <x:c r="E55" s="3" t="str">
        <x:v>https://zh.wikisource.org/wiki/%E5%85%AD%E5%A3%AC%E5%A4%A7%E5%85%A8/7</x:v>
      </x:c>
      <x:c r="F55" s="3" t="str">
        <x:v>已用浏览器读取</x:v>
      </x:c>
      <x:c r="G55" s="3" t="str">
        <x:v>元首、重审、知一、涉害等课体正文，以及观月经的年、月、日、时应期层次</x:v>
      </x:c>
      <x:c r="H55" s="3" t="str">
        <x:v>用于逐条回查条件和层次；断语必须保留课体、旺相、神将与年命等限定条件，不作为默认应事</x:v>
      </x:c>
    </x:row>
    <x:row r="56" ht="24" hidden="0" customHeight="1">
      <x:c r="A56" s="3" t="str">
        <x:v>大六壬</x:v>
      </x:c>
      <x:c r="B56" s="3" t="str">
        <x:v>返吟·三合全局</x:v>
      </x:c>
      <x:c r="C56" s="3" t="str">
        <x:v>维基文库</x:v>
      </x:c>
      <x:c r="D56" s="3" t="str">
        <x:v>六壬大全·卷一</x:v>
      </x:c>
      <x:c r="E56" s="3" t="str">
        <x:v>https://zh.wikisource.org/zh/%E5%85%AD%E5%A3%AC%E5%A4%A7%E5%85%A8/1</x:v>
      </x:c>
      <x:c r="F56" s="3" t="str">
        <x:v>已用浏览器读取</x:v>
      </x:c>
      <x:c r="G56" s="3" t="str">
        <x:v>返吟与井栏射取传、三合全局和缺神待用，以及刑害合并的条件化条目</x:v>
      </x:c>
      <x:c r="H56" s="3" t="str">
        <x:v>三合、合与返吟均须列出盘局参与项及缺神/刑害条件；不将章节断辞泛化为普通关系的默认应事</x:v>
      </x:c>
    </x:row>
    <x:row r="57" ht="24" hidden="0" customHeight="1">
      <x:c r="A57" s="3" t="str">
        <x:v>大六壬</x:v>
      </x:c>
      <x:c r="B57" s="3" t="str">
        <x:v>占断八门</x:v>
      </x:c>
      <x:c r="C57" s="3" t="str">
        <x:v>大六壬金铰剪</x:v>
      </x:c>
      <x:c r="D57" s="3" t="str">
        <x:v>第二部分：占断入手</x:v>
      </x:c>
      <x:c r="E57" s="3" t="str">
        <x:v>https://simplelits.com/books/classical/classical-08388-%E5%A4%A7%E5%85%AD%E5%A3%AC%E9%87%91%E9%93%B0%E5%89%AA/3</x:v>
      </x:c>
      <x:c r="F57" s="3" t="str">
        <x:v>已用浏览器读取</x:v>
      </x:c>
      <x:c r="G57" s="3" t="str">
        <x:v>先锋、直事、外事、内事、发端、移易、归计、变体的八门名称与基本分工</x:v>
      </x:c>
      <x:c r="H57" s="3" t="str">
        <x:v>现代整理文本；须注明作者/版本，不把其归纳混称为古籍原文或默认应事规则</x:v>
      </x:c>
    </x:row>
    <x:row r="58" ht="15" hidden="0" customHeight="1">
      <x:c r="A58" s="3" t="str">
        <x:v>大六壬</x:v>
      </x:c>
      <x:c r="B58" s="3" t="str">
        <x:v>基础结构</x:v>
      </x:c>
      <x:c r="C58" s="3" t="str">
        <x:v>百科条目</x:v>
      </x:c>
      <x:c r="D58" s="3" t="str">
        <x:v>大六壬</x:v>
      </x:c>
      <x:c r="E58" s="3" t="str">
        <x:v>https://zh.wikipedia.org/wiki/%E5%A4%A7%E5%85%AD%E5%A3%AC</x:v>
      </x:c>
      <x:c r="F58" s="3" t="str">
        <x:v>可访问</x:v>
      </x:c>
      <x:c r="G58" s="3" t="str">
        <x:v>天地盘、四课、三传、十二天将的术语导览</x:v>
      </x:c>
      <x:c r="H58" s="3" t="str">
        <x:v>仅作术语和资料线索，不作为课体或应期规则依据</x:v>
      </x:c>
    </x:row>
    <x:row r="59" ht="24" hidden="0" customHeight="1">
      <x:c r="A59" s="3" t="str">
        <x:v>大六壬</x:v>
      </x:c>
      <x:c r="B59" s="3" t="str">
        <x:v>四课·发用·三传</x:v>
      </x:c>
      <x:c r="C59" s="3" t="str">
        <x:v>维基文库</x:v>
      </x:c>
      <x:c r="D59" s="3" t="str">
        <x:v>六壬指南·卷一</x:v>
      </x:c>
      <x:c r="E59" s="3" t="str">
        <x:v>https://zh.wikisource.org/zh-hant/%E5%85%AD%E5%A3%AC%E6%8C%87%E5%8D%97/1</x:v>
      </x:c>
      <x:c r="F59" s="3" t="str">
        <x:v>已定位公开正文</x:v>
      </x:c>
      <x:c r="G59" s="3" t="str">
        <x:v>四课阴阳、下贼上／上克下、比用、涉害与三传相因的正文</x:v>
      </x:c>
      <x:c r="H59" s="3" t="str">
        <x:v>用于核查发用次序、阴阳筛选与三传相因；涉害深浅、孟仲取法和盘式差异须保留来源与候选路径</x:v>
      </x:c>
    </x:row>
    <x:row r="60" ht="24" hidden="0" customHeight="1">
      <x:c r="A60" s="3" t="str">
        <x:v>大六壬</x:v>
      </x:c>
      <x:c r="B60" s="3" t="str">
        <x:v>九宗门·取传次序</x:v>
      </x:c>
      <x:c r="C60" s="3" t="str">
        <x:v>维基文库／中国哲学书电子化计划</x:v>
      </x:c>
      <x:c r="D60" s="3" t="str">
        <x:v>六壬大全·卷一／六壬粹言·卷二毕法补谈一立课</x:v>
      </x:c>
      <x:c r="E60" s="3" t="str">
        <x:v>https://zh.wikisource.org/zh/%E5%85%AD%E5%A3%AC%E5%A4%A7%E5%85%A8/1</x:v>
      </x:c>
      <x:c r="F60" s="3" t="str">
        <x:v>已定位公开正文</x:v>
      </x:c>
      <x:c r="G60" s="3" t="str">
        <x:v>贼克至返吟九宗门次序，以及遥克、昴星、别责、八专、伏吟、返吟的条件化正文</x:v>
      </x:c>
      <x:c r="H60" s="3" t="str">
        <x:v>课体识别须逐层短路；八专论克不论遥、伏吟／返吟有克先取克等分支必须保留版本和盘例校验</x:v>
      </x:c>
    </x:row>
    <x:row r="61" ht="24" hidden="0" customHeight="1">
      <x:c r="A61" s="3" t="str">
        <x:v>大六壬</x:v>
      </x:c>
      <x:c r="B61" s="3" t="str">
        <x:v>毕法赋·版本与引文</x:v>
      </x:c>
      <x:c r="C61" s="3" t="str">
        <x:v>中国哲学书电子化计划</x:v>
      </x:c>
      <x:c r="D61" s="3" t="str">
        <x:v>六壬毕法赋书目页／御定六壬直指毕法引文</x:v>
      </x:c>
      <x:c r="E61" s="3" t="str">
        <x:v>https://ctext.org/datawiki.pl?if=en&amp;remap=gb&amp;res=358047</x:v>
      </x:c>
      <x:c r="F61" s="3" t="str">
        <x:v>已定位公开正文</x:v>
      </x:c>
      <x:c r="G61" s="3" t="str">
        <x:v>毕法赋的书名、卷数、收录线索及部分“毕法云”条目交叉定位</x:v>
      </x:c>
      <x:c r="H61" s="3" t="str">
        <x:v>书目页仅作版本线索，自动生成简介不得作规则依据；引文页属于御定六壬直指的引用与注解环境，不替代毕法赋原文或整理本逐条校勘</x:v>
      </x:c>
    </x:row>
    <x:row r="62" ht="15" hidden="0" customHeight="1">
      <x:c r="A62" s="3" t="str">
        <x:v>大六壬</x:v>
      </x:c>
      <x:c r="B62" s="3" t="str">
        <x:v>六十四课·课经集</x:v>
      </x:c>
      <x:c r="C62" s="3" t="str">
        <x:v>维基文库</x:v>
      </x:c>
      <x:c r="D62" s="3" t="str">
        <x:v>六壬大全·卷七／卷八／卷九</x:v>
      </x:c>
      <x:c r="E62" s="3" t="str">
        <x:v>https://zh.wikisource.org/wiki/%E5%85%AD%E5%A3%AC%E5%A4%A7%E5%85%A8/7</x:v>
      </x:c>
      <x:c r="F62" s="3" t="str">
        <x:v>已定位公开正文</x:v>
      </x:c>
      <x:c r="G62" s="3" t="str">
        <x:v>课经集一至三的课体、取传、旺相、神将、救应与附格正文</x:v>
      </x:c>
      <x:c r="H62" s="3" t="str">
        <x:v>逐课入库须保留卷次和成立条件；旧式绝对断辞仅作版本文本，不得直转项目报告或确定应事</x:v>
      </x:c>
    </x:row>
    <x:row r="63" ht="24" hidden="0" customHeight="1">
      <x:c r="A63" s="3" t="str">
        <x:v>大六壬</x:v>
      </x:c>
      <x:c r="B63" s="3" t="str">
        <x:v>本地学习资料</x:v>
      </x:c>
      <x:c r="C63" s="3" t="str">
        <x:v>本地用户资料</x:v>
      </x:c>
      <x:c r="D63" s="3" t="str">
        <x:v>大六壬精义讲解（伍剑虹署名）</x:v>
      </x:c>
      <x:c r="E63" s="3" t="str">
        <x:v>docs/大六壬快速入门完整.pdf</x:v>
      </x:c>
      <x:c r="F63" s="3" t="str">
        <x:v>已视觉核验首页和元数据</x:v>
      </x:c>
      <x:c r="G63" s="3" t="str">
        <x:v>章节线索与项目既有资料的来源登记</x:v>
      </x:c>
      <x:c r="H63" s="3" t="str">
        <x:v>未见可校原始出版信息或版本页；仅作本地学习资料，不替代公开原典、影印底本或项目规则来源</x:v>
      </x:c>
    </x:row>
    <x:row r="64" ht="24" hidden="0" customHeight="1">
      <x:c r="A64" s="3" t="str">
        <x:v>大六壬</x:v>
      </x:c>
      <x:c r="B64" s="3" t="str">
        <x:v>本地学习资料</x:v>
      </x:c>
      <x:c r="C64" s="3" t="str">
        <x:v>本地用户资料</x:v>
      </x:c>
      <x:c r="D64" s="3" t="str">
        <x:v>大六壬教学（作者未见）</x:v>
      </x:c>
      <x:c r="E64" s="3" t="str">
        <x:v>docs/大六壬入门.pdf</x:v>
      </x:c>
      <x:c r="F64" s="3" t="str">
        <x:v>已视觉核验首页和元数据</x:v>
      </x:c>
      <x:c r="G64" s="3" t="str">
        <x:v>基础术语与章节线索的来源登记</x:v>
      </x:c>
      <x:c r="H64" s="3" t="str">
        <x:v>作者、版本、出版社均未能由现有文件确认；仅作本地学习资料，不可作为规则或断语的独立依据</x:v>
      </x:c>
    </x:row>
    <x:row r="65" ht="24" hidden="0" customHeight="1">
      <x:c r="A65" s="3" t="str">
        <x:v>大六壬</x:v>
      </x:c>
      <x:c r="B65" s="3" t="str">
        <x:v>六亲与支神类神</x:v>
      </x:c>
      <x:c r="C65" s="3" t="str">
        <x:v>维基文库</x:v>
      </x:c>
      <x:c r="D65" s="3" t="str">
        <x:v>六壬大全·卷十</x:v>
      </x:c>
      <x:c r="E65" s="3" t="str">
        <x:v>https://zh.wikisource.org/wiki/%E5%85%AD%E5%A3%AC%E5%A4%A7%E5%85%A8/10</x:v>
      </x:c>
      <x:c r="F65" s="3" t="str">
        <x:v>已用浏览器读取</x:v>
      </x:c>
      <x:c r="G65" s="3" t="str">
        <x:v>日干与支神所定亲疏、父母、兄弟、妻财等关系，以及十二支类神条目</x:v>
      </x:c>
      <x:c r="H65" s="3" t="str">
        <x:v>用于明确六壬六亲与支神类神的承载项；人物取象仍须结合占问、盘位、天将、旬空与课传，不得搬用六爻爻位规则</x:v>
      </x:c>
    </x:row>
    <x:row r="66" ht="24" hidden="0" customHeight="1">
      <x:c r="A66" s="3" t="str">
        <x:v>紫微斗数</x:v>
      </x:c>
      <x:c r="B66" s="3" t="str">
        <x:v>十四主星</x:v>
      </x:c>
      <x:c r="C66" s="3" t="str">
        <x:v>iztro</x:v>
      </x:c>
      <x:c r="D66" s="3" t="str">
        <x:v>十四主星</x:v>
      </x:c>
      <x:c r="E66" s="3" t="str">
        <x:v>https://docs.iztro.com/learn/major-star</x:v>
      </x:c>
      <x:c r="F66" s="3" t="str">
        <x:v>已用浏览器读取</x:v>
      </x:c>
      <x:c r="G66" s="3" t="str">
        <x:v>十四主星名称、紫微／天府两大星系分组，以及阴阳五行、斗分、化气等现代学习卡片</x:v>
      </x:c>
      <x:c r="H66" s="3" t="str">
        <x:v>星性、职业、别号等为该站现代归纳；不得直接推作项目的庙旺、四化、格局或宫位断语规则</x:v>
      </x:c>
    </x:row>
    <x:row r="67" ht="15" hidden="0" customHeight="1">
      <x:c r="A67" s="3" t="str">
        <x:v>紫微斗数</x:v>
      </x:c>
      <x:c r="B67" s="3" t="str">
        <x:v>参考实现基线</x:v>
      </x:c>
      <x:c r="C67" s="3" t="str">
        <x:v>GitHub</x:v>
      </x:c>
      <x:c r="D67" s="3" t="str">
        <x:v>Renhuai123/ziwei-doushu</x:v>
      </x:c>
      <x:c r="E67" s="3" t="str">
        <x:v>https://github.com/Renhuai123/ziwei-doushu</x:v>
      </x:c>
      <x:c r="F67" s="3" t="str">
        <x:v>已用浏览器读取</x:v>
      </x:c>
      <x:c r="G67" s="3" t="str">
        <x:v>公开排盘实现、固定盘例、亮度与格局资料的对照基线</x:v>
      </x:c>
      <x:c r="H67" s="3" t="str">
        <x:v>只用于可复现的排盘字段比对；不将其解读语料、样本数据或特定流派断语直接导入项目规则</x:v>
      </x:c>
    </x:row>
    <x:row r="68" ht="24" hidden="0" customHeight="1">
      <x:c r="A68" s="3" t="str">
        <x:v>紫微斗数</x:v>
      </x:c>
      <x:c r="B68" s="3" t="str">
        <x:v>公开资料目录</x:v>
      </x:c>
      <x:c r="C68" s="3" t="str">
        <x:v>ZiWei.my</x:v>
      </x:c>
      <x:c r="D68" s="3" t="str">
        <x:v>站点地图／十四主星分类接口</x:v>
      </x:c>
      <x:c r="E68" s="3" t="str">
        <x:v>https://www.ziwei.my/sitemap.xml</x:v>
      </x:c>
      <x:c r="F68" s="3" t="str">
        <x:v>已用公开接口采集</x:v>
      </x:c>
      <x:c r="G68" s="3" t="str">
        <x:v>十四主星栏目、站内文章标题、公开地址和最后修改时间的资料目录</x:v>
      </x:c>
      <x:c r="H68" s="3" t="str">
        <x:v>仅作来源定位；不复制正文，也不等于将站内解读采纳为项目规则。明细见 outputs/ziwei-my-public-catalog/ziwei_my_public_source_catalog.xlsx</x:v>
      </x:c>
    </x:row>
    <x:row r="69" ht="24" hidden="0" customHeight="1">
      <x:c r="A69" s="3" t="str">
        <x:v>大六壬</x:v>
      </x:c>
      <x:c r="B69" s="3" t="str">
        <x:v>八门·书目线索</x:v>
      </x:c>
      <x:c r="C69" s="3" t="str">
        <x:v>中国哲学书电子化计划</x:v>
      </x:c>
      <x:c r="D69" s="3" t="str">
        <x:v>六壬一字诀玉连环</x:v>
      </x:c>
      <x:c r="E69" s="3" t="str">
        <x:v>https://ctext.org/wiki.pl?if=gb&amp;remap=gb&amp;res=258816</x:v>
      </x:c>
      <x:c r="F69" s="3" t="str">
        <x:v>已用浏览器读取</x:v>
      </x:c>
      <x:c r="G69" s="3" t="str">
        <x:v>书名、作者署名、版本缺失状态及查看正文检索入口</x:v>
      </x:c>
      <x:c r="H69" s="3" t="str">
        <x:v>页面未给出可校勘底本；只作后续定位版本与章节的线索，不用自动元数据或搜索摘要确立八门、来意、变体等具体规则</x:v>
      </x:c>
    </x:row>
    <x:row r="70" ht="24" hidden="0" customHeight="1">
      <x:c r="A70" s="3" t="str">
        <x:v>六爻</x:v>
      </x:c>
      <x:c r="B70" s="3" t="str">
        <x:v>纳甲装卦</x:v>
      </x:c>
      <x:c r="C70" s="3" t="str">
        <x:v>中国哲学书电子化计划／识典古籍</x:v>
      </x:c>
      <x:c r="D70" s="3" t="str">
        <x:v>卜筮正宗·纳甲装卦歌／卜筮全书·纳甲歌</x:v>
      </x:c>
      <x:c r="E70" s="3" t="str">
        <x:v>https://ctext.org/wiki.pl?chapter=889452&amp;if=gb&amp;remap=gb</x:v>
      </x:c>
      <x:c r="F70" s="3" t="str">
        <x:v>已用浏览器读取</x:v>
      </x:c>
      <x:c r="G70" s="3" t="str">
        <x:v>八卦内外三爻的纳甲天干、地支与自下而上次序</x:v>
      </x:c>
      <x:c r="H70" s="3" t="str">
        <x:v>仅用于校核装卦表；卦身、伏神、用神、世应及不同纳甲传本的细则不得由该歌诀单独推出</x:v>
      </x:c>
    </x:row>
    <x:row r="71" ht="15" hidden="0" customHeight="1">
      <x:c r="A71" s="3" t="str">
        <x:v>奇门遁甲</x:v>
      </x:c>
      <x:c r="B71" s="3" t="str">
        <x:v>九宫盘</x:v>
      </x:c>
      <x:c r="C71" s="3" t="str">
        <x:v>FateMaster</x:v>
      </x:c>
      <x:c r="D71" s="3" t="str">
        <x:v>奇门遁甲大全</x:v>
      </x:c>
      <x:c r="E71" s="3" t="str">
        <x:v>https://www.fatemaster.ai/guides/qimen-dunjia</x:v>
      </x:c>
      <x:c r="F71" s="3" t="str">
        <x:v>可访问</x:v>
      </x:c>
      <x:c r="G71" s="3" t="str">
        <x:v>九宫、八门、九星、八神、阴阳遁与三元定局的实现资料</x:v>
      </x:c>
      <x:c r="H71" s="3" t="str">
        <x:v>现代整理资料；必须写明转盘/飞盘、置闰、局数与值符值使口径</x:v>
      </x:c>
    </x:row>
    <x:row r="72" ht="15" hidden="0" customHeight="1">
      <x:c r="A72" s="3" t="str">
        <x:v>奇门遁甲</x:v>
      </x:c>
      <x:c r="B72" s="3" t="str">
        <x:v>盘面校对</x:v>
      </x:c>
      <x:c r="C72" s="3" t="str">
        <x:v>理数</x:v>
      </x:c>
      <x:c r="D72" s="3" t="str">
        <x:v>奇门遁甲排盘</x:v>
      </x:c>
      <x:c r="E72" s="3" t="str">
        <x:v>https://lishuhub.com/zh/qi-men-pai-pan/</x:v>
      </x:c>
      <x:c r="F72" s="3" t="str">
        <x:v>可访问</x:v>
      </x:c>
      <x:c r="G72" s="3" t="str">
        <x:v>天盘、地盘、门盘、星盘、神盘与空亡等展示资料</x:v>
      </x:c>
      <x:c r="H72" s="3" t="str">
        <x:v>只用于盘面字段及排盘比对，不把网站案例写为项目结论</x:v>
      </x:c>
    </x:row>
    <x:row r="73" ht="24" hidden="0" customHeight="1">
      <x:c r="A73" s="3" t="str">
        <x:v>奇门遁甲</x:v>
      </x:c>
      <x:c r="B73" s="3" t="str">
        <x:v>古籍条文</x:v>
      </x:c>
      <x:c r="C73" s="3" t="str">
        <x:v>维基文库</x:v>
      </x:c>
      <x:c r="D73" s="3" t="str">
        <x:v>奇门遁甲统宗</x:v>
      </x:c>
      <x:c r="E73" s="3" t="str">
        <x:v>https://zh.wikisource.org/zh-hans/%E5%A5%87%E9%96%80%E9%81%81%E7%94%B2%E7%B5%B1%E5%AE%97</x:v>
      </x:c>
      <x:c r="F73" s="3" t="str">
        <x:v>可访问</x:v>
      </x:c>
      <x:c r="G73" s="3" t="str">
        <x:v>阴阳遁、三奇六仪、符使、门星神与类神的卷次资料</x:v>
      </x:c>
      <x:c r="H73" s="3" t="str">
        <x:v>必须保留卷次、盘式和条件；不把古籍条文直接翻为确定应事</x:v>
      </x:c>
    </x:row>
    <x:row r="74" ht="15" hidden="0" customHeight="1">
      <x:c r="A74" s="3" t="str">
        <x:v>奇门遁甲</x:v>
      </x:c>
      <x:c r="B74" s="3" t="str">
        <x:v>影印校勘</x:v>
      </x:c>
      <x:c r="C74" s="3" t="str">
        <x:v>中国哲学书电子化计划</x:v>
      </x:c>
      <x:c r="D74" s="3" t="str">
        <x:v>遁甲演义（四库本）</x:v>
      </x:c>
      <x:c r="E74" s="3" t="str">
        <x:v>https://ctext.org/library.pl?if=gb&amp;res=5785</x:v>
      </x:c>
      <x:c r="F74" s="3" t="str">
        <x:v>可访问</x:v>
      </x:c>
      <x:c r="G74" s="3" t="str">
        <x:v>明程道生著作的影印书目、卷次与底本入口</x:v>
      </x:c>
      <x:c r="H74" s="3" t="str">
        <x:v>影印本用于校勘；检索摘要或 OCR 不可取代回看底本</x:v>
      </x:c>
    </x:row>
    <x:row r="75" ht="24" hidden="0" customHeight="1">
      <x:c r="A75" s="3" t="str">
        <x:v>奇门遁甲</x:v>
      </x:c>
      <x:c r="B75" s="3" t="str">
        <x:v>符头定元</x:v>
      </x:c>
      <x:c r="C75" s="3" t="str">
        <x:v>奇门遁甲统宗</x:v>
      </x:c>
      <x:c r="D75" s="3" t="str">
        <x:v>定三元法影像页</x:v>
      </x:c>
      <x:c r="E75" s="3" t="str">
        <x:v>https://zh.wikisource.org/wiki/Page%3AGujin_Tushu_Jicheng%2C_Volume_479_%281700-1725%29.djvu/25</x:v>
      </x:c>
      <x:c r="F75" s="3" t="str">
        <x:v>已定位公开影像</x:v>
      </x:c>
      <x:c r="G75" s="3" t="str">
        <x:v>甲／己符头与所临支定上、中、下元；冬至后阳遁条目</x:v>
      </x:c>
      <x:c r="H75" s="3" t="str">
        <x:v>仅用于符头定元的版本化校核；超接、接气、置闰和具体局数须另列流派与实现前提</x:v>
      </x:c>
    </x:row>
    <x:row r="76" ht="24" hidden="0" customHeight="1">
      <x:c r="A76" s="3" t="str">
        <x:v>奇门遁甲</x:v>
      </x:c>
      <x:c r="B76" s="3" t="str">
        <x:v>超接与置闰</x:v>
      </x:c>
      <x:c r="C76" s="3" t="str">
        <x:v>中国哲学书电子化计划</x:v>
      </x:c>
      <x:c r="D76" s="3" t="str">
        <x:v>奇门遁甲统宗·卷一</x:v>
      </x:c>
      <x:c r="E76" s="3" t="str">
        <x:v>https://ctext.org/wiki.pl?chapter=666094&amp;if=gb</x:v>
      </x:c>
      <x:c r="F76" s="3" t="str">
        <x:v>已定位公开正文</x:v>
      </x:c>
      <x:c r="G76" s="3" t="str">
        <x:v>正授、超神、接气、芒种／大雪后闰奇与阴阳遁顺逆的条件化正文</x:v>
      </x:c>
      <x:c r="H76" s="3" t="str">
        <x:v>仅校核时家转盘的超接／置闰术语与条件；不同版本拆补、置闰阈值和盘式须配置化，不能据此推出唯一默认局数</x:v>
      </x:c>
    </x:row>
    <x:row r="77" ht="24" hidden="0" customHeight="1">
      <x:c r="A77" s="3" t="str">
        <x:v>奇门遁甲</x:v>
      </x:c>
      <x:c r="B77" s="3" t="str">
        <x:v>值符·值使·格局</x:v>
      </x:c>
      <x:c r="C77" s="3" t="str">
        <x:v>维基文库</x:v>
      </x:c>
      <x:c r="D77" s="3" t="str">
        <x:v>奇门遁甲统宗·卷一</x:v>
      </x:c>
      <x:c r="E77" s="3" t="str">
        <x:v>https://zh.wikisource.org/zh-hans/%E5%A5%87%E9%96%80%E9%81%81%E7%94%B2%E7%B5%B1%E5%AE%97</x:v>
      </x:c>
      <x:c r="F77" s="3" t="str">
        <x:v>已定位公开正文</x:v>
      </x:c>
      <x:c r="G77" s="3" t="str">
        <x:v>九星为值符、八门为值使、值符值使图诀及四十格目录</x:v>
      </x:c>
      <x:c r="H77" s="3" t="str">
        <x:v>仅校核盘面字段和格局名称；星、门、神、奇仪、落宫、盘式与占问须合参，不能把单项歌诀改成无条件应事</x:v>
      </x:c>
    </x:row>
    <x:row r="78" ht="15" hidden="0" customHeight="1">
      <x:c r="A78" s="3" t="str">
        <x:v>奇门遁甲</x:v>
      </x:c>
      <x:c r="B78" s="3" t="str">
        <x:v>排局口径</x:v>
      </x:c>
      <x:c r="C78" s="3" t="str">
        <x:v>3meta</x:v>
      </x:c>
      <x:c r="D78" s="3" t="str">
        <x:v>3meta 参考实现</x:v>
      </x:c>
      <x:c r="E78" s="3" t="str">
        <x:v>https://github.com/3metaJun/3meta</x:v>
      </x:c>
      <x:c r="F78" s="3" t="str">
        <x:v>已建立本地对照</x:v>
      </x:c>
      <x:c r="G78" s="3" t="str">
        <x:v>时家奇门、转盘排宫和拆补法实现及回归基线</x:v>
      </x:c>
      <x:c r="H78" s="3" t="str">
        <x:v>只作算法交叉校验；不复制第三方代码或将其默认配置视为唯一流派</x:v>
      </x:c>
    </x:row>
    <x:row r="79" ht="24" hidden="0" customHeight="1">
      <x:c r="A79" s="3" t="str">
        <x:v>梅花易数</x:v>
      </x:c>
      <x:c r="B79" s="3" t="str">
        <x:v>起卦</x:v>
      </x:c>
      <x:c r="C79" s="3" t="str">
        <x:v>维基文库</x:v>
      </x:c>
      <x:c r="D79" s="3" t="str">
        <x:v>梅花易数·卷一</x:v>
      </x:c>
      <x:c r="E79" s="3" t="str">
        <x:v>https://zh.wikisource.org/zh-hans/%E6%A2%85%E8%8A%B1%E6%98%93%E6%95%B8/%E5%8D%B7%E4%B8%80</x:v>
      </x:c>
      <x:c r="F79" s="3" t="str">
        <x:v>可访问</x:v>
      </x:c>
      <x:c r="G79" s="3" t="str">
        <x:v>年月日时、物数、声音等起卦例与互卦起例</x:v>
      </x:c>
      <x:c r="H79" s="3" t="str">
        <x:v>起卦输入、动爻与卦序要独立于体用取象</x:v>
      </x:c>
    </x:row>
    <x:row r="80" ht="24" hidden="0" customHeight="1">
      <x:c r="A80" s="3" t="str">
        <x:v>梅花易数</x:v>
      </x:c>
      <x:c r="B80" s="3" t="str">
        <x:v>体用</x:v>
      </x:c>
      <x:c r="C80" s="3" t="str">
        <x:v>维基文库</x:v>
      </x:c>
      <x:c r="D80" s="3" t="str">
        <x:v>梅花易数·卷二</x:v>
      </x:c>
      <x:c r="E80" s="3" t="str">
        <x:v>https://zh.wikisource.org/zh-hans/%E6%A2%85%E8%8A%B1%E6%98%93%E6%95%B8/%E5%8D%B7%E4%BA%8C</x:v>
      </x:c>
      <x:c r="F80" s="3" t="str">
        <x:v>已定位公开正文</x:v>
      </x:c>
      <x:c r="G80" s="3" t="str">
        <x:v>体用总诀及体用、生克、旺衰、内外正文；体主、用事、互主中程、变主终局</x:v>
      </x:c>
      <x:c r="H80" s="3" t="str">
        <x:v>体用、生克、互变与外应须分字段保存，不能压为无来源单一分数或跨占类断辞</x:v>
      </x:c>
    </x:row>
    <x:row r="81" ht="24" hidden="0" customHeight="1">
      <x:c r="A81" s="3" t="str">
        <x:v>梅花易数</x:v>
      </x:c>
      <x:c r="B81" s="3" t="str">
        <x:v>互变与应期</x:v>
      </x:c>
      <x:c r="C81" s="3" t="str">
        <x:v>维基文库</x:v>
      </x:c>
      <x:c r="D81" s="3" t="str">
        <x:v>梅花易数·卷三</x:v>
      </x:c>
      <x:c r="E81" s="3" t="str">
        <x:v>https://zh.wikisource.org/zh-hans/%E6%A2%85%E8%8A%B1%E6%98%93%E6%95%B8/%E5%8D%B7%E4%B8%89</x:v>
      </x:c>
      <x:c r="F81" s="3" t="str">
        <x:v>已定位公开正文</x:v>
      </x:c>
      <x:c r="G81" s="3" t="str">
        <x:v>用／互／变应事层次、动静与克应正文；全卦数须结合占事久近、事物质性及生克体卦气后再取年、月、日候期</x:v>
      </x:c>
      <x:c r="H81" s="3" t="str">
        <x:v>应期须列作用层次、触发条件、时间单位、占事久近、物性和未决条件，不作确定事件承诺</x:v>
      </x:c>
    </x:row>
  </x:sheetData>
  <x:pageMargins left="0.7" right="0.7" top="0.75" bottom="0.75" header="0.3" footer="0.3"/>
  <x:tableParts count="1">
    <x:tablePart xmlns:r="http://schemas.openxmlformats.org/officeDocument/2006/relationships" r:id="R42d58d8c4d814d4f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56" hidden="0" customWidth="1"/>
    <x:col min="3" max="3" width="48" hidden="0" customWidth="1"/>
    <x:col min="4" max="4" width="48" hidden="0" customWidth="1"/>
    <x:col min="5" max="5" width="36" hidden="0" customWidth="1"/>
  </x:cols>
  <x:sheetData>
    <x:row r="1" ht="15" hidden="0" customHeight="1">
      <x:c r="A1" s="3" t="str">
        <x:v>术数</x:v>
      </x:c>
      <x:c r="B1" s="3" t="str">
        <x:v>本地文档</x:v>
      </x:c>
      <x:c r="C1" s="3" t="str">
        <x:v>文档职责</x:v>
      </x:c>
      <x:c r="D1" s="3" t="str">
        <x:v>对应资料来源</x:v>
      </x:c>
      <x:c r="E1" s="3" t="str">
        <x:v>补充状态</x:v>
      </x:c>
    </x:row>
    <x:row r="2" ht="15" hidden="0" customHeight="1">
      <x:c r="A2" s="3" t="str">
        <x:v>全项目</x:v>
      </x:c>
      <x:c r="B2" s="3" t="str">
        <x:v>docs/术数资料来源总台账.md</x:v>
      </x:c>
      <x:c r="C2" s="3" t="str">
        <x:v>各术数说明文档的公开资料、采用范围与待校边界</x:v>
      </x:c>
      <x:c r="D2" s="3" t="str">
        <x:v>全项目资料目录</x:v>
      </x:c>
      <x:c r="E2" s="3" t="str">
        <x:v>新增规则须补资料编号、来源、条件与展示位置</x:v>
      </x:c>
    </x:row>
    <x:row r="3" ht="15" hidden="0" customHeight="1">
      <x:c r="A3" s="3" t="str">
        <x:v>八字·子平</x:v>
      </x:c>
      <x:c r="B3" s="3" t="str">
        <x:v>docs/ziping/八字排盘后-如何分析--算法.txt</x:v>
      </x:c>
      <x:c r="C3" s="3" t="str">
        <x:v>子平原局、调候、格局、用神、岁运的项目口径</x:v>
      </x:c>
      <x:c r="D3" s="3" t="str">
        <x:v>子平真诠／穷通宝鉴／滴天髓／三命通会资料列</x:v>
      </x:c>
      <x:c r="E3" s="3" t="str">
        <x:v>待逐规则写入来源和版本</x:v>
      </x:c>
    </x:row>
    <x:row r="4" ht="15" hidden="0" customHeight="1">
      <x:c r="A4" s="3" t="str">
        <x:v>八字·盲派</x:v>
      </x:c>
      <x:c r="B4" s="3" t="str">
        <x:v>docs/mangpai/盲派-八字排盘后如何分析.txt</x:v>
      </x:c>
      <x:c r="C4" s="3" t="str">
        <x:v>宾主、体用、做功与岁运引动口径</x:v>
      </x:c>
      <x:c r="D4" s="3" t="str">
        <x:v>盲派资料列</x:v>
      </x:c>
      <x:c r="E4" s="3" t="str">
        <x:v>待逐规则写入来源和版本</x:v>
      </x:c>
    </x:row>
    <x:row r="5" ht="24" hidden="0" customHeight="1">
      <x:c r="A5" s="3" t="str">
        <x:v>六爻</x:v>
      </x:c>
      <x:c r="B5" s="3" t="str">
        <x:v>docs/liuyao/example_liu_yao_output.txt</x:v>
      </x:c>
      <x:c r="C5" s="3" t="str">
        <x:v>装卦与分析输出样例</x:v>
      </x:c>
      <x:c r="D5" s="3" t="str">
        <x:v>卜筮正宗资料列（含应期、伏神与空破条件）</x:v>
      </x:c>
      <x:c r="E5" s="3" t="str">
        <x:v>样例不是规则来源；候选应期须回溯作用爻、触发及阻滞条件</x:v>
      </x:c>
    </x:row>
    <x:row r="6" ht="15" hidden="0" customHeight="1">
      <x:c r="A6" s="3" t="str">
        <x:v>大六壬</x:v>
      </x:c>
      <x:c r="B6" s="3" t="str">
        <x:v>docs/da_liuren/大六壬分析算法与输出契约.md</x:v>
      </x:c>
      <x:c r="C6" s="3" t="str">
        <x:v>天地盘、四课、三传、年命、类神和应期输出</x:v>
      </x:c>
      <x:c r="D6" s="3" t="str">
        <x:v>毕法赋与项目课体资料列</x:v>
      </x:c>
      <x:c r="E6" s="3" t="str">
        <x:v>课体规则须标具体来源段落</x:v>
      </x:c>
    </x:row>
    <x:row r="7" ht="15" hidden="0" customHeight="1">
      <x:c r="A7" s="3" t="str">
        <x:v>奇门遁甲</x:v>
      </x:c>
      <x:c r="B7" s="3" t="str">
        <x:v>docs/qimen/参考实现对齐说明.md</x:v>
      </x:c>
      <x:c r="C7" s="3" t="str">
        <x:v>排局与参考实现对齐口径</x:v>
      </x:c>
      <x:c r="D7" s="3" t="str">
        <x:v>奇门现代实现资料列</x:v>
      </x:c>
      <x:c r="E7" s="3" t="str">
        <x:v>须明确转盘/飞盘与节气局数口径</x:v>
      </x:c>
    </x:row>
    <x:row r="8" ht="15" hidden="0" customHeight="1">
      <x:c r="A8" s="3" t="str">
        <x:v>梅花易数</x:v>
      </x:c>
      <x:c r="B8" s="3" t="str">
        <x:v>docs/meihua/梅花易数排盘后如何分析.md</x:v>
      </x:c>
      <x:c r="C8" s="3" t="str">
        <x:v>本互变、体用与应期的项目说明</x:v>
      </x:c>
      <x:c r="D8" s="3" t="str">
        <x:v>梅花易数卷一至卷三资料列</x:v>
      </x:c>
      <x:c r="E8" s="3" t="str">
        <x:v>需逐项回填原文卷次与章节</x:v>
      </x:c>
    </x:row>
    <x:row r="9" ht="15" hidden="0" customHeight="1">
      <x:c r="A9" s="3" t="str">
        <x:v>紫微斗数</x:v>
      </x:c>
      <x:c r="B9" s="3" t="str">
        <x:v>docs/ziwei/紫微斗数资料来源与入库口径.md</x:v>
      </x:c>
      <x:c r="C9" s="3" t="str">
        <x:v>星曜、安星、格局、四化、亮度与来源台账</x:v>
      </x:c>
      <x:c r="D9" s="3" t="str">
        <x:v>iztro／ZiWei.my／明明观止资料列</x:v>
      </x:c>
      <x:c r="E9" s="3" t="str">
        <x:v>详见紫微专用来源工作簿</x:v>
      </x:c>
    </x:row>
    <x:row r="10" ht="24" hidden="0" customHeight="1">
      <x:c r="A10" s="3" t="str">
        <x:v>紫微斗数</x:v>
      </x:c>
      <x:c r="B10" s="3" t="str">
        <x:v>docs/ziwei/忌冲.md</x:v>
      </x:c>
      <x:c r="C10" s="3" t="str">
        <x:v>四化、礼仪派忌冲与限运笔记</x:v>
      </x:c>
      <x:c r="D10" s="3" t="str">
        <x:v>ZiWei.my 四化／礼仪派四化／命局大限流年资料列；其余待定位</x:v>
      </x:c>
      <x:c r="E10" s="3" t="str">
        <x:v>已分离已定位规则与待校笔记；不得将未定位条目作为默认规则或报告断语</x:v>
      </x:c>
    </x:row>
    <x:row r="11" ht="15" hidden="0" customHeight="1">
      <x:c r="A11" s="3" t="str">
        <x:v>紫微斗数</x:v>
      </x:c>
      <x:c r="B11" s="3" t="str">
        <x:v>docs/紫微斗数-安星决.md</x:v>
      </x:c>
      <x:c r="C11" s="3" t="str">
        <x:v>十四主星与辅煞安置口诀的校核笔记</x:v>
      </x:c>
      <x:c r="D11" s="3" t="str">
        <x:v>iztro 安星诀资料列</x:v>
      </x:c>
      <x:c r="E11" s="3" t="str">
        <x:v>安星与流派版本须由固定盘例逐项复核</x:v>
      </x:c>
    </x:row>
    <x:row r="12" ht="24" hidden="0" customHeight="1">
      <x:c r="A12" s="3" t="str">
        <x:v>紫微斗数</x:v>
      </x:c>
      <x:c r="B12" s="3" t="str">
        <x:v>outputs/ziwei-my-public-catalog/ziwei_my_public_source_catalog.xlsx</x:v>
      </x:c>
      <x:c r="C12" s="3" t="str">
        <x:v>ZiWei.my 十四主星公开资料目录</x:v>
      </x:c>
      <x:c r="D12" s="3" t="str">
        <x:v>ZiWei.my sitemap 与 WordPress REST 分类资料列</x:v>
      </x:c>
      <x:c r="E12" s="3" t="str">
        <x:v>只作来源追溯；全文解释仍须逐条复核来源和采用口径</x:v>
      </x:c>
    </x:row>
  </x:sheetData>
  <x:pageMargins left="0.7" right="0.7" top="0.75" bottom="0.75" header="0.3" footer="0.3"/>
  <x:tableParts count="1">
    <x:tablePart xmlns:r="http://schemas.openxmlformats.org/officeDocument/2006/relationships" r:id="R0d1538cf085f454e"/>
  </x:tableParts>
</x:worksheet>
</file>